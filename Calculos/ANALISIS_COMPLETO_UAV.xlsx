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EMPENO_UAV" sheetId="1" r:id="rId4"/>
    <sheet state="visible" name="Materiales" sheetId="2" r:id="rId5"/>
    <sheet state="visible" name="AERODINAMICA_CFD" sheetId="3" r:id="rId6"/>
  </sheets>
  <definedNames/>
  <calcPr/>
  <extLst>
    <ext uri="GoogleSheetsCustomDataVersion2">
      <go:sheetsCustomData xmlns:go="http://customooxmlschemas.google.com/" r:id="rId7" roundtripDataChecksum="DFXBccaElb7I72at3q+T84CD+deYyYSSsj0I6Tcfvgc="/>
    </ext>
  </extLst>
</workbook>
</file>

<file path=xl/sharedStrings.xml><?xml version="1.0" encoding="utf-8"?>
<sst xmlns="http://schemas.openxmlformats.org/spreadsheetml/2006/main" count="191" uniqueCount="142">
  <si>
    <t>ANÁLISIS DE DESEMPEÑO DE PLATAFORMAS UAV</t>
  </si>
  <si>
    <t>Simbología</t>
  </si>
  <si>
    <t>Características</t>
  </si>
  <si>
    <t>Foam Board (Manual)</t>
  </si>
  <si>
    <t>Foam Board (Auto)</t>
  </si>
  <si>
    <t>Reno L250 (Auto)</t>
  </si>
  <si>
    <t>Foam Board (2200KV Variant)</t>
  </si>
  <si>
    <t>1. DATOS FÍSICOS Y GEOMETRÍA (ENTRADAS CAD)</t>
  </si>
  <si>
    <t>b</t>
  </si>
  <si>
    <t>Envergadura (m)</t>
  </si>
  <si>
    <t>S</t>
  </si>
  <si>
    <t>Área Alar (m²)</t>
  </si>
  <si>
    <t>L</t>
  </si>
  <si>
    <t>Longitud aproximada (m)</t>
  </si>
  <si>
    <t>c</t>
  </si>
  <si>
    <t>Cuerda media (MAC, m)</t>
  </si>
  <si>
    <t>AR</t>
  </si>
  <si>
    <t>Relación de Aspecto (Aspect Ratio)</t>
  </si>
  <si>
    <t>2. SISTEMA DE PROPULSIÓN Y BATERÍA (ENTRADAS ESPECIFICACIONES)</t>
  </si>
  <si>
    <t>-</t>
  </si>
  <si>
    <t>Modelo del Motor Brushless</t>
  </si>
  <si>
    <t>A2212 1000KV</t>
  </si>
  <si>
    <t>KingVal 3548 1100KV</t>
  </si>
  <si>
    <t>2206 2200KV</t>
  </si>
  <si>
    <t>Variador de velocidad (ESC)</t>
  </si>
  <si>
    <t>ESC 30A</t>
  </si>
  <si>
    <t>ESC 60A</t>
  </si>
  <si>
    <t>Hélice seleccionada</t>
  </si>
  <si>
    <t>10x4.5</t>
  </si>
  <si>
    <t>12x6</t>
  </si>
  <si>
    <t>5x4.5</t>
  </si>
  <si>
    <t>Vbatt</t>
  </si>
  <si>
    <t>Voltaje nominal de batería (V)</t>
  </si>
  <si>
    <t>C</t>
  </si>
  <si>
    <t>Capacidad de la batería (Ah)</t>
  </si>
  <si>
    <t>E</t>
  </si>
  <si>
    <t>Energía total nominal (Wh)</t>
  </si>
  <si>
    <t>Tkg</t>
  </si>
  <si>
    <t>Empuje máximo estático (kg)</t>
  </si>
  <si>
    <t>I_cruise</t>
  </si>
  <si>
    <t>Corriente promedio en crucero (A)</t>
  </si>
  <si>
    <t>I_max</t>
  </si>
  <si>
    <t>Corriente en máxima aceleración (A)</t>
  </si>
  <si>
    <t>I_elec</t>
  </si>
  <si>
    <t>Consumo electrónica + servos (A)</t>
  </si>
  <si>
    <t>3. CONSTANTES OPERATIVAS Y LÍMITES</t>
  </si>
  <si>
    <t>g</t>
  </si>
  <si>
    <t>Aceleración de gravedad (g, m/s²)</t>
  </si>
  <si>
    <t>ρ</t>
  </si>
  <si>
    <t>Densidad del aire (mar, ISA, kg/m³)</t>
  </si>
  <si>
    <t>CLmax</t>
  </si>
  <si>
    <t>Coeficiente de Sustentación máximo</t>
  </si>
  <si>
    <t>CL_CFD</t>
  </si>
  <si>
    <t>Coeficiente sustentación pérdida (CFD)</t>
  </si>
  <si>
    <t>N/A</t>
  </si>
  <si>
    <t>4. ANÁLISIS DINÁMICO Y DESEMPEÑO CALCULADO</t>
  </si>
  <si>
    <t>m</t>
  </si>
  <si>
    <t>Masa total al despegue (MTOW, kg)</t>
  </si>
  <si>
    <t>W</t>
  </si>
  <si>
    <t>Peso total estimado (W, N)</t>
  </si>
  <si>
    <t>Vstall</t>
  </si>
  <si>
    <t>Velocidad de pérdida de diseño (m/s)</t>
  </si>
  <si>
    <t>Vstall_k</t>
  </si>
  <si>
    <t>Velocidad de pérdida de diseño (km/h)</t>
  </si>
  <si>
    <t>Vstall_CFD</t>
  </si>
  <si>
    <t>Velocidad de pérdida según CFD (m/s)</t>
  </si>
  <si>
    <t>WL</t>
  </si>
  <si>
    <t>Carga Alar de Operación (g/dm²)</t>
  </si>
  <si>
    <t>T/W_max</t>
  </si>
  <si>
    <t>Relación Empuje/Peso Máxima</t>
  </si>
  <si>
    <t>t_th</t>
  </si>
  <si>
    <t>Autonomía Teórica en crucero (min)</t>
  </si>
  <si>
    <t>t_pr</t>
  </si>
  <si>
    <t>Autonomía Práctica en crucero (70%, min)</t>
  </si>
  <si>
    <t>t_th_max</t>
  </si>
  <si>
    <t>Autonomía Teórica al 100% Throttle (min)</t>
  </si>
  <si>
    <t>t_pr_max</t>
  </si>
  <si>
    <t>Autonomía Práctica al 100% Throttle (min)</t>
  </si>
  <si>
    <t>P_cruise</t>
  </si>
  <si>
    <t>Potencia requerida en crucero (W)</t>
  </si>
  <si>
    <t>P_max</t>
  </si>
  <si>
    <t>Potencia máxima de propulsión (W)</t>
  </si>
  <si>
    <t>V_cruise_rec</t>
  </si>
  <si>
    <t>Velocidad de crucero recomendada (m/s)</t>
  </si>
  <si>
    <t>Costo total importado (USD)</t>
  </si>
  <si>
    <t>Foam Board con Pixhawk</t>
  </si>
  <si>
    <t>Objeto</t>
  </si>
  <si>
    <t>Cantidad</t>
  </si>
  <si>
    <t>Peso gr</t>
  </si>
  <si>
    <t>Peso total gr</t>
  </si>
  <si>
    <t>Precio u.</t>
  </si>
  <si>
    <t>Precio total</t>
  </si>
  <si>
    <t>Especificaciones</t>
  </si>
  <si>
    <t>Referencia</t>
  </si>
  <si>
    <t>Fuselage/Structure</t>
  </si>
  <si>
    <t>Cartón Pluma Blanco 5mm 70cmx100cm 058-0048 (X2)</t>
  </si>
  <si>
    <t>https://www.amazon.com/-/es/pulgadas-unidades-manualidades-pinturas-impresiones/dp/B071RZGWNQ?ref_=ast_slp_dp&amp;th=1&amp;psc=1</t>
  </si>
  <si>
    <t>Brushless Motor</t>
  </si>
  <si>
    <t>Motor Brushless A2212 1000kv</t>
  </si>
  <si>
    <t>Amazon.com: Hobbymall A2212 1000KV Motor sin escobillas 13T con conectores banana macho de 0.138 in para aviones RC Multi-Copter Quadcopter Drone (1PC) : Juguetes y Juegos</t>
  </si>
  <si>
    <t>ESC</t>
  </si>
  <si>
    <t>Controlador Motor Brushless Esc 30a Esc30a Drone</t>
  </si>
  <si>
    <t>Amazon.com: Motor sin escobillas ESC 30A controlador de velocidad eléctrico con altas RPM múltiples protecciones para drones RC coches y amplias aplicaciones : Juguetes y Juegos</t>
  </si>
  <si>
    <t>Propeller</t>
  </si>
  <si>
    <t>Hélices 1045 Dron 10 Pulgadas</t>
  </si>
  <si>
    <t>Amazon.com: uxcell RC Propellers CW CCW 1045 10x4.5 pulgadas 2 paletas de ala fija para juguete de avión, nailon negro, 4 pares con anillos adaptadores : Herramientas y Mejoras del Hogar</t>
  </si>
  <si>
    <t xml:space="preserve">LiPo 3S Battery </t>
  </si>
  <si>
    <t>Batería de Lipo litio 11.1V 3S 2200mAh 35C</t>
  </si>
  <si>
    <t>https://www.amazon.com/-/es/Bater%C3%ADa-2200mAh-conector-helic%C3%B3ptero-Quadcopter/dp/B077P73SDS/ref=sr_1_5?__mk_es_US=%C3%85M%C3%85%C5%BD%C3%95%C3%91&amp;crid=1W30CGE162N9L&amp;dib=eyJ2IjoiMSJ9.YScbcjzazWdYaomMKiJA4d9_MebqxJe3w6yQoeDZt4n1utJKXnGMqznyLX9sds3NEr538Gs9q0SYPiuHnJAE7H6_jDBqlSl9X64sjwhWrjNE9srawD15nD2ckXXbjteGGt7Sp4EqabVFFPeWYMUMKKeVKp-0dxvFLW-1X2JPCnIuIYbJIa8tSul2ivi6PeZcyv3LkDPDozAkibV_u1o2LHjv37jf8dnR9EYgZ7L5AgR8MY-dZ8tuBNTiVg3ETu6zBGrOtQ_477l7VRrXSkvJrKjrSDkuMjlAWJOHgnKa0N0.kxy5iFw4FSPeHrc1lZjVhI3zmXlvmKtY44eVXXTicOY&amp;dib_tag=se&amp;keywords=OVONIC%2B3s%2BLipo%2BBater%C3%ADa&amp;qid=1762479898&amp;sprefix=ovonic%2B4s%2Blipo%2Bbater%C3%ADa%2B%2Caps%2C194&amp;sr=8-5&amp;th=1</t>
  </si>
  <si>
    <t xml:space="preserve">Servomotors </t>
  </si>
  <si>
    <t>Servo Motor SG90 Tower Pro 180 grados 9g</t>
  </si>
  <si>
    <t>Amazon.com: 2 unids SG90 Micro servo motor 180 grados SG90 9G Gear Motor Control para Arduino Raspberry Pi RC Car Toy Robot Helicóptero Avión Controles Coche Barco DIY : Juguetes y Juegos</t>
  </si>
  <si>
    <t>Pixhawk 2.4.8</t>
  </si>
  <si>
    <t>Pixhawk PX4 2.4.8 Controlador de vuelo</t>
  </si>
  <si>
    <t>Amazon.com: Pixhawk PX4 2.4.8 Controlador de vuelo, piloto automático de código abierto de 32 bits con módulo de potencia, interruptor de seguridad, zumbador, tarjeta SD y amortiguación de vibraciones (GPS no incluido) para avión RC Drone FPV DIY : Juguetes y Juegos</t>
  </si>
  <si>
    <t xml:space="preserve">GPS NEO-M8N </t>
  </si>
  <si>
    <t>NEO-M8N - GNSS</t>
  </si>
  <si>
    <t>Amazon.com: Readytosky Módulo GPS M8N Brújula incorporada con soporte de antena GPS para controlador de vuelo estándar Pixhawk 2.4.6 2.4.8 APM 2.6 2.8 : Juguetes y Juegos</t>
  </si>
  <si>
    <t>Transmisor RC</t>
  </si>
  <si>
    <t>Flysky FS-i6X - Transmisor RC de 6-10 (predeterminado 6)</t>
  </si>
  <si>
    <t>Amazon.com: Flysky FS-i6X - Transmisor RC de 6-10 (predeterminado 6) canales, 2.4GHz AFHDS con receptor FS-iA6B : Juguetes y Juegos</t>
  </si>
  <si>
    <t>Receptor RC</t>
  </si>
  <si>
    <t>DTXMX Flysky FS-iA10B Receptor 10 canales 2.4GH</t>
  </si>
  <si>
    <t>Amazon.com: DTXMX Flysky FS-iA10B Receptor 10 canales 2.4GHz AFHDS 2A con salida PPM/iBUS/PWM adecuado para transmisor de radio RC FS-I6X FS-I6 I6S controlador RC : Juguetes y Juegos</t>
  </si>
  <si>
    <t>Power Module</t>
  </si>
  <si>
    <t>APM 2.5 2.6 2.8 para módulo de potencia Pixhawk 30V 90A con 5.3V DC</t>
  </si>
  <si>
    <t>Amazon.com: APM 2.5 2.6 2.8 para módulo de potencia Pixhawk 30V 90A con 5.3V DC BEC con enchufe T XT60 para RC Drone Helicopter Part Quadcopters Accesorios (XT60) : Industrial y Científico</t>
  </si>
  <si>
    <t>Foam Board sin Pixhawk</t>
  </si>
  <si>
    <t>CARACTERIZACIÓN AERODINÁMICA MEDIANTE CFD (SOLIDWORKS)</t>
  </si>
  <si>
    <t>Coeficientes longitudinales del Foam Board (crucero constante V = 15 m/s, q = 137.81 Pa, S = 0.1699 m²)</t>
  </si>
  <si>
    <t>Ángulo de Ataque (AoA, α)</t>
  </si>
  <si>
    <t>Coeficiente Sustentación (CL)</t>
  </si>
  <si>
    <t>Coeficiente Arrastre (CD)</t>
  </si>
  <si>
    <t>Coeficiente Momento (Cm @ CG)</t>
  </si>
  <si>
    <t>Eficiencia Aerodinámica (L/D)</t>
  </si>
  <si>
    <t>DERIVADAS DE ESTABILIDAD Y COMPORTAMIENTO LONGITUDINAL</t>
  </si>
  <si>
    <t>Pendiente de Sustentación (Linear CL_alpha)</t>
  </si>
  <si>
    <t>CL_alpha</t>
  </si>
  <si>
    <t>Gradiente de Momento de Cabeceo (Cm_alpha)</t>
  </si>
  <si>
    <t>Cm_alpha</t>
  </si>
  <si>
    <t>Margen Estático de Diseño (Static Margin, SM)</t>
  </si>
  <si>
    <t>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</si>
</sst>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0.000&quot; m&quot;"/>
    <numFmt numFmtId="165" formatCode="0.0000&quot; m²&quot;"/>
    <numFmt numFmtId="166" formatCode="0.0&quot; V&quot;"/>
    <numFmt numFmtId="167" formatCode="0.0&quot; Ah&quot;"/>
    <numFmt numFmtId="168" formatCode="0.00&quot; Wh&quot;"/>
    <numFmt numFmtId="169" formatCode="0.000&quot; kg&quot;"/>
    <numFmt numFmtId="170" formatCode="0.0&quot; A&quot;"/>
    <numFmt numFmtId="171" formatCode="0.00&quot; m/s²&quot;"/>
    <numFmt numFmtId="172" formatCode="0.000&quot; kg/m³&quot;"/>
    <numFmt numFmtId="173" formatCode="0.00&quot; N&quot;"/>
    <numFmt numFmtId="174" formatCode="0.00&quot; m/s&quot;"/>
    <numFmt numFmtId="175" formatCode="0.00&quot; km/h&quot;"/>
    <numFmt numFmtId="176" formatCode="0.0&quot; g/dm²&quot;"/>
    <numFmt numFmtId="177" formatCode="0.0&quot; min&quot;"/>
    <numFmt numFmtId="178" formatCode="0.0&quot; W&quot;"/>
    <numFmt numFmtId="179" formatCode="&quot;$&quot;#,##0.00"/>
    <numFmt numFmtId="180" formatCode="_(&quot;$&quot;* #,##0.00_);_(&quot;$&quot;* \(#,##0.00\);_(&quot;$&quot;* &quot;-&quot;??_);_(@_)"/>
    <numFmt numFmtId="181" formatCode="0&quot;°&quot;"/>
    <numFmt numFmtId="182" formatCode="0.000"/>
    <numFmt numFmtId="183" formatCode="0.000&quot; rad⁻¹&quot;"/>
  </numFmts>
  <fonts count="13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rgb="FFFFFFFF"/>
      <name val="Calibri"/>
    </font>
    <font>
      <b/>
      <sz val="11.0"/>
      <color rgb="FF1F4E79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2.0"/>
      <color theme="1"/>
      <name val="Aptos Narrow"/>
    </font>
    <font>
      <sz val="12.0"/>
      <color rgb="FFFFFFFF"/>
      <name val="Aptos Narrow"/>
    </font>
    <font>
      <sz val="12.0"/>
      <color theme="1"/>
      <name val="Arial"/>
    </font>
    <font>
      <u/>
      <sz val="12.0"/>
      <color rgb="FF467886"/>
      <name val="Aptos Narrow"/>
    </font>
    <font>
      <sz val="13.0"/>
      <color rgb="FF333333"/>
      <name val="Arial"/>
    </font>
    <font>
      <i/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2F4F8"/>
        <bgColor rgb="FFF2F4F8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1F4E79"/>
      </bottom>
    </border>
    <border>
      <left/>
      <right/>
      <top/>
      <bottom/>
    </border>
    <border>
      <left style="thin">
        <color rgb="FFD3D3D3"/>
      </left>
      <top style="thin">
        <color rgb="FFD3D3D3"/>
      </top>
      <bottom style="double">
        <color rgb="FF1F4E79"/>
      </bottom>
    </border>
    <border>
      <right style="thin">
        <color rgb="FFD3D3D3"/>
      </right>
      <top style="thin">
        <color rgb="FFD3D3D3"/>
      </top>
      <bottom style="double">
        <color rgb="FF1F4E79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horizontal="left" vertical="center"/>
    </xf>
    <xf borderId="4" fillId="5" fontId="5" numFmtId="164" xfId="0" applyAlignment="1" applyBorder="1" applyFont="1" applyNumberFormat="1">
      <alignment horizontal="right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0" fontId="5" numFmtId="165" xfId="0" applyAlignment="1" applyBorder="1" applyFont="1" applyNumberFormat="1">
      <alignment horizontal="right" vertical="center"/>
    </xf>
    <xf borderId="4" fillId="0" fontId="5" numFmtId="164" xfId="0" applyAlignment="1" applyBorder="1" applyFont="1" applyNumberFormat="1">
      <alignment horizontal="right" vertical="center"/>
    </xf>
    <xf borderId="4" fillId="5" fontId="5" numFmtId="2" xfId="0" applyAlignment="1" applyBorder="1" applyFont="1" applyNumberFormat="1">
      <alignment horizontal="right" vertical="center"/>
    </xf>
    <xf borderId="4" fillId="5" fontId="5" numFmtId="0" xfId="0" applyAlignment="1" applyBorder="1" applyFont="1">
      <alignment horizontal="right" vertical="center"/>
    </xf>
    <xf borderId="4" fillId="0" fontId="5" numFmtId="0" xfId="0" applyAlignment="1" applyBorder="1" applyFont="1">
      <alignment horizontal="right" vertical="center"/>
    </xf>
    <xf borderId="4" fillId="0" fontId="5" numFmtId="166" xfId="0" applyAlignment="1" applyBorder="1" applyFont="1" applyNumberFormat="1">
      <alignment horizontal="right" vertical="center"/>
    </xf>
    <xf borderId="4" fillId="5" fontId="5" numFmtId="167" xfId="0" applyAlignment="1" applyBorder="1" applyFont="1" applyNumberFormat="1">
      <alignment horizontal="right" vertical="center"/>
    </xf>
    <xf borderId="4" fillId="0" fontId="5" numFmtId="168" xfId="0" applyAlignment="1" applyBorder="1" applyFont="1" applyNumberFormat="1">
      <alignment horizontal="right" vertical="center"/>
    </xf>
    <xf borderId="4" fillId="5" fontId="5" numFmtId="169" xfId="0" applyAlignment="1" applyBorder="1" applyFont="1" applyNumberFormat="1">
      <alignment horizontal="right" vertical="center"/>
    </xf>
    <xf borderId="4" fillId="0" fontId="5" numFmtId="170" xfId="0" applyAlignment="1" applyBorder="1" applyFont="1" applyNumberFormat="1">
      <alignment horizontal="right" vertical="center"/>
    </xf>
    <xf borderId="4" fillId="5" fontId="5" numFmtId="170" xfId="0" applyAlignment="1" applyBorder="1" applyFont="1" applyNumberFormat="1">
      <alignment horizontal="right" vertical="center"/>
    </xf>
    <xf borderId="4" fillId="0" fontId="5" numFmtId="171" xfId="0" applyAlignment="1" applyBorder="1" applyFont="1" applyNumberFormat="1">
      <alignment horizontal="right" vertical="center"/>
    </xf>
    <xf borderId="4" fillId="5" fontId="5" numFmtId="172" xfId="0" applyAlignment="1" applyBorder="1" applyFont="1" applyNumberFormat="1">
      <alignment horizontal="right" vertical="center"/>
    </xf>
    <xf borderId="4" fillId="0" fontId="5" numFmtId="2" xfId="0" applyAlignment="1" applyBorder="1" applyFont="1" applyNumberFormat="1">
      <alignment horizontal="right" vertical="center"/>
    </xf>
    <xf borderId="4" fillId="0" fontId="5" numFmtId="173" xfId="0" applyAlignment="1" applyBorder="1" applyFont="1" applyNumberFormat="1">
      <alignment horizontal="right" vertical="center"/>
    </xf>
    <xf borderId="4" fillId="5" fontId="5" numFmtId="174" xfId="0" applyAlignment="1" applyBorder="1" applyFont="1" applyNumberFormat="1">
      <alignment horizontal="right" vertical="center"/>
    </xf>
    <xf borderId="4" fillId="0" fontId="5" numFmtId="175" xfId="0" applyAlignment="1" applyBorder="1" applyFont="1" applyNumberFormat="1">
      <alignment horizontal="right" vertical="center"/>
    </xf>
    <xf borderId="4" fillId="0" fontId="5" numFmtId="176" xfId="0" applyAlignment="1" applyBorder="1" applyFont="1" applyNumberFormat="1">
      <alignment horizontal="right" vertical="center"/>
    </xf>
    <xf borderId="4" fillId="0" fontId="5" numFmtId="177" xfId="0" applyAlignment="1" applyBorder="1" applyFont="1" applyNumberFormat="1">
      <alignment horizontal="right" vertical="center"/>
    </xf>
    <xf borderId="4" fillId="5" fontId="5" numFmtId="177" xfId="0" applyAlignment="1" applyBorder="1" applyFont="1" applyNumberFormat="1">
      <alignment horizontal="right" vertical="center"/>
    </xf>
    <xf borderId="4" fillId="0" fontId="5" numFmtId="178" xfId="0" applyAlignment="1" applyBorder="1" applyFont="1" applyNumberFormat="1">
      <alignment horizontal="right" vertical="center"/>
    </xf>
    <xf borderId="4" fillId="5" fontId="5" numFmtId="178" xfId="0" applyAlignment="1" applyBorder="1" applyFont="1" applyNumberFormat="1">
      <alignment horizontal="right" vertical="center"/>
    </xf>
    <xf borderId="4" fillId="0" fontId="5" numFmtId="174" xfId="0" applyAlignment="1" applyBorder="1" applyFont="1" applyNumberFormat="1">
      <alignment horizontal="right" vertical="center"/>
    </xf>
    <xf borderId="8" fillId="5" fontId="6" numFmtId="0" xfId="0" applyAlignment="1" applyBorder="1" applyFont="1">
      <alignment horizontal="center" vertical="center"/>
    </xf>
    <xf borderId="8" fillId="5" fontId="6" numFmtId="0" xfId="0" applyAlignment="1" applyBorder="1" applyFont="1">
      <alignment horizontal="left" vertical="center"/>
    </xf>
    <xf borderId="8" fillId="6" fontId="6" numFmtId="179" xfId="0" applyAlignment="1" applyBorder="1" applyFill="1" applyFont="1" applyNumberFormat="1">
      <alignment horizontal="right" vertical="center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7" fontId="8" numFmtId="0" xfId="0" applyAlignment="1" applyFill="1" applyFont="1">
      <alignment vertical="bottom"/>
    </xf>
    <xf borderId="9" fillId="8" fontId="9" numFmtId="0" xfId="0" applyAlignment="1" applyBorder="1" applyFill="1" applyFont="1">
      <alignment vertical="bottom"/>
    </xf>
    <xf borderId="9" fillId="8" fontId="7" numFmtId="0" xfId="0" applyAlignment="1" applyBorder="1" applyFont="1">
      <alignment horizontal="right" vertical="bottom"/>
    </xf>
    <xf borderId="9" fillId="8" fontId="9" numFmtId="180" xfId="0" applyAlignment="1" applyBorder="1" applyFont="1" applyNumberFormat="1">
      <alignment horizontal="right" vertical="bottom"/>
    </xf>
    <xf borderId="9" fillId="8" fontId="7" numFmtId="180" xfId="0" applyAlignment="1" applyBorder="1" applyFont="1" applyNumberFormat="1">
      <alignment horizontal="right" vertical="bottom"/>
    </xf>
    <xf borderId="9" fillId="8" fontId="7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9" fillId="8" fontId="11" numFmtId="0" xfId="0" applyAlignment="1" applyBorder="1" applyFont="1">
      <alignment shrinkToFit="0" wrapText="1"/>
    </xf>
    <xf borderId="0" fillId="8" fontId="7" numFmtId="0" xfId="0" applyAlignment="1" applyFont="1">
      <alignment vertical="bottom"/>
    </xf>
    <xf borderId="0" fillId="8" fontId="7" numFmtId="0" xfId="0" applyAlignment="1" applyFont="1">
      <alignment horizontal="right" vertical="bottom"/>
    </xf>
    <xf borderId="0" fillId="8" fontId="7" numFmtId="180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180" xfId="0" applyAlignment="1" applyFont="1" applyNumberFormat="1">
      <alignment horizontal="right" vertical="bottom"/>
    </xf>
    <xf borderId="0" fillId="8" fontId="9" numFmtId="0" xfId="0" applyAlignment="1" applyFont="1">
      <alignment horizontal="right" vertical="bottom"/>
    </xf>
    <xf borderId="0" fillId="0" fontId="12" numFmtId="0" xfId="0" applyAlignment="1" applyFont="1">
      <alignment horizontal="center" vertical="center"/>
    </xf>
    <xf borderId="4" fillId="5" fontId="5" numFmtId="181" xfId="0" applyAlignment="1" applyBorder="1" applyFont="1" applyNumberFormat="1">
      <alignment horizontal="center" vertical="center"/>
    </xf>
    <xf borderId="4" fillId="5" fontId="5" numFmtId="182" xfId="0" applyAlignment="1" applyBorder="1" applyFont="1" applyNumberFormat="1">
      <alignment horizontal="right" vertical="center"/>
    </xf>
    <xf borderId="4" fillId="0" fontId="5" numFmtId="181" xfId="0" applyAlignment="1" applyBorder="1" applyFont="1" applyNumberFormat="1">
      <alignment horizontal="center" vertical="center"/>
    </xf>
    <xf borderId="4" fillId="0" fontId="5" numFmtId="182" xfId="0" applyAlignment="1" applyBorder="1" applyFont="1" applyNumberFormat="1">
      <alignment horizontal="right" vertical="center"/>
    </xf>
    <xf borderId="1" fillId="4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vertical="center"/>
    </xf>
    <xf borderId="5" fillId="0" fontId="6" numFmtId="183" xfId="0" applyAlignment="1" applyBorder="1" applyFont="1" applyNumberFormat="1">
      <alignment horizontal="right" vertical="center"/>
    </xf>
    <xf borderId="10" fillId="0" fontId="5" numFmtId="0" xfId="0" applyAlignment="1" applyBorder="1" applyFont="1">
      <alignment horizontal="left" vertical="center"/>
    </xf>
    <xf borderId="11" fillId="0" fontId="2" numFmtId="0" xfId="0" applyBorder="1" applyFont="1"/>
    <xf borderId="8" fillId="0" fontId="6" numFmtId="0" xfId="0" applyAlignment="1" applyBorder="1" applyFont="1">
      <alignment horizontal="center" vertical="center"/>
    </xf>
    <xf borderId="10" fillId="6" fontId="6" numFmtId="0" xfId="0" applyAlignment="1" applyBorder="1" applyFont="1">
      <alignment horizontal="right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Materiales-style">
      <tableStyleElement dxfId="1" type="headerRow"/>
      <tableStyleElement dxfId="2" type="firstRowStripe"/>
      <tableStyleElement dxfId="2" type="secondRowStripe"/>
    </tableStyle>
    <tableStyle count="3" pivot="0" name="Materiales-style 2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G13" displayName="Table_1" name="Table_1" id="1">
  <tableColumns count="7">
    <tableColumn name="Objeto" id="1"/>
    <tableColumn name="Cantidad" id="2"/>
    <tableColumn name="Peso gr" id="3"/>
    <tableColumn name="Peso total gr" id="4"/>
    <tableColumn name="Precio u." id="5"/>
    <tableColumn name="Precio total" id="6"/>
    <tableColumn name="Especificaciones" id="7"/>
  </tableColumns>
  <tableStyleInfo name="Materiales-style" showColumnStripes="0" showFirstColumn="1" showLastColumn="1" showRowStripes="1"/>
</table>
</file>

<file path=xl/tables/table2.xml><?xml version="1.0" encoding="utf-8"?>
<table xmlns="http://schemas.openxmlformats.org/spreadsheetml/2006/main" ref="A17:G28" displayName="Table_2" name="Table_2" id="2">
  <tableColumns count="7">
    <tableColumn name="Objeto" id="1"/>
    <tableColumn name="Cantidad" id="2"/>
    <tableColumn name="Peso gr" id="3"/>
    <tableColumn name="Peso total gr" id="4"/>
    <tableColumn name="Precio u." id="5"/>
    <tableColumn name="Precio total" id="6"/>
    <tableColumn name="Especificaciones" id="7"/>
  </tableColumns>
  <tableStyleInfo name="Material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-/es/escobillas-controlador-velocidad-protecciones-aplicaciones/dp/B0C9YJJPRC/ref=sr_1_3?__mk_es_US=%C3%85M%C3%85%C5%BD%C3%95%C3%91&amp;crid=FXNZ3DI4PUY4&amp;dib=eyJ2IjoiMSJ9.jCKRZaP1HfnEv84EQKa57DXAuVag-KSxLntd-GHSLnXBH9n0wdn60WFhUP9HQJtr6BgtgtxQeTMjFqSU2PCThPAey0t3I9d4L0eYs3zf7kH0zsOJc9OSEJ4T83H_dFYrYK5AkEntlwcBZrmDdAee29wQKOJyrjCMUPA1xzl-t_0OhB6dzuJaBYfm3AJdTiri6A3ZPOB2VSENJM29Ff_P1BWX2-ASNXULRyY2zVlynNGxhsJ1nKlsVkQaxzy59w1an0a8Hq3gbxTKXRyXUlyw6aaEAJICuuKaJAv_UNEkXXg.rvwL63Xncw9GLeRuIoXhqjvmPnaMssnUz1ncKWHdMlY&amp;dib_tag=se&amp;keywords=Controlador+Motor+Brushless+Esc+30a+Esc30a+Drone&amp;qid=1778306516&amp;sprefix=controlador+motor+brushless+esc+30a+esc30a+drone%2Caps%2C168&amp;sr=8-3" TargetMode="External"/><Relationship Id="rId22" Type="http://schemas.openxmlformats.org/officeDocument/2006/relationships/table" Target="../tables/table1.xml"/><Relationship Id="rId10" Type="http://schemas.openxmlformats.org/officeDocument/2006/relationships/hyperlink" Target="https://www.amazon.com/-/es/Hobbymall-escobillas-conectores-Multi-Copter-Quadcopter/dp/B0D2W24DFX/ref=sr_1_1?__mk_es_US=%C3%85M%C3%85%C5%BD%C3%95%C3%91&amp;crid=673SGM780M05&amp;dib=eyJ2IjoiMSJ9._JVJcDVVZlshRTOuKatkojuovylHlxOYEWrcypMLp5qJrjIOdC5jMx47I9IPHVAbdQ2exBAKjbC8nJOJw1mEz9wSeK_bjnecWsU8SrV1J6KAWn4wUhSqsrBNkosrhpyu5byqZGLgYLefXUsabClLRqJnmR6QdEH3lb3wTbV61WYZRJhHrLmFOoUNpViQh-xTokM29Jm6toM8cMmlkilatKgCKvvFn9Z9-TWYYb5IbCeCa_3SqR25jNTW_QY5A_e23yX6s4bj3CMaVECTjn61fhztz_G-Lab0SyzRWnBoyAw.P4JrVzaaosGQQHeqwy29sD7FtOwWKednuWNg3yjbT9M&amp;dib_tag=se&amp;keywords=Motor%2BBrushless%2BA2212%2B1000kv&amp;qid=1778306475&amp;sprefix=motor%2Bbrushless%2Ba2212%2B1000kv%2Caps%2C154&amp;sr=8-1&amp;th=1" TargetMode="External"/><Relationship Id="rId13" Type="http://schemas.openxmlformats.org/officeDocument/2006/relationships/hyperlink" Target="https://www.amazon.com/-/es/SG90-Control-Raspberry-Helic%C3%B3ptero-Controles/dp/B0DFKPVRC2/ref=sr_1_7?__mk_es_US=%C3%85M%C3%85%C5%BD%C3%95%C3%91&amp;crid=3AZ24BC4LAVZ&amp;dib=eyJ2IjoiMSJ9.nkc0KBgCfhVQogZxEstWSj9hzQTqtSnKDBOh2btAVCITvj9z1H8ETdVgKAxUDMCV6yLfu4dJcPcnVbiHyBXUJPBjuTF6HSPHGvDO7IeLGZb2IGdRr8eN46JkjhGrEdFxASdZe-ujWijphO4UOhYnPUkl_kTmzkrk5eR-b3_FvvUk0ZXHQn6HHa4E-cyizAGaIp5BP_oUcMrju8ZspAJUWj1HLqhJuC4CNlCtAMUU9-jRDh7F9CYCzc7fqUnrEpyP0dsVjhO56bn97A29RzFxEzUvNZsjQx6gX8C10qjK-r8.Fp63VX-lhzdocHrG6hbZgivFwHpVtfBjlyOEnQHEVn8&amp;dib_tag=se&amp;keywords=Servo+Motor+SG90+Tower+Pro+180+grados+9g&amp;nsdOptOutParam=true&amp;qid=1778306804&amp;sprefix=servo+motor+sg90+tower+pro+180+grados+9g%2Caps%2C172&amp;sr=8-7" TargetMode="External"/><Relationship Id="rId12" Type="http://schemas.openxmlformats.org/officeDocument/2006/relationships/hyperlink" Target="https://www.amazon.com/-/es/uxcell-Propellers-pulgadas-paletas-adaptadores/dp/B07PXKKV3G/ref=sr_1_5?__mk_es_US=%C3%85M%C3%85%C5%BD%C3%95%C3%91&amp;crid=17FN1ZLVLDM5&amp;dib=eyJ2IjoiMSJ9.nEHb6c-J5XJVyCrAP9xfOyvq19IAO_-CDeylYS7nuqDQvHGp-yW0xqT4pFpUxLesATrNy2GSv_iEp0nWR1CYbMSiwOvLMwn-rCf7daKXgrvuPfHudiHkXLDHFbGuzbm9E3A7-0uBeTTchoTT2JaoPBP8Fhw8zWB7tBocol5d4ACX1mE6XsvBh9BHSaKZMd1wwoSIV2MPPRJZoo5GmWlDZj9GQcQ9YAZrDSORiVh-5yhaRnxltncDQanzt21Cm79Q.7WHwypXr4eRSf_VJWSlheLHrxpg3x0kGIn9C2B_xmzQ&amp;dib_tag=se&amp;keywords=Especificaciones%2Bde%2Blas%2Bh%C3%A9lices%2B1045&amp;qid=1778306681&amp;sprefix=especificaciones%2Bde%2Blas%2Bh%C3%A9lices%2B1045%2Caps%2C192&amp;sr=8-5&amp;th=1" TargetMode="External"/><Relationship Id="rId23" Type="http://schemas.openxmlformats.org/officeDocument/2006/relationships/table" Target="../tables/table2.xml"/><Relationship Id="rId1" Type="http://schemas.openxmlformats.org/officeDocument/2006/relationships/hyperlink" Target="https://www.amazon.com/-/es/Hobbymall-escobillas-conectores-Multi-Copter-Quadcopter/dp/B0D2W24DFX/ref=sr_1_1?__mk_es_US=%C3%85M%C3%85%C5%BD%C3%95%C3%91&amp;crid=673SGM780M05&amp;dib=eyJ2IjoiMSJ9._JVJcDVVZlshRTOuKatkojuovylHlxOYEWrcypMLp5qJrjIOdC5jMx47I9IPHVAbdQ2exBAKjbC8nJOJw1mEz9wSeK_bjnecWsU8SrV1J6KAWn4wUhSqsrBNkosrhpyu5byqZGLgYLefXUsabClLRqJnmR6QdEH3lb3wTbV61WYZRJhHrLmFOoUNpViQh-xTokM29Jm6toM8cMmlkilatKgCKvvFn9Z9-TWYYb5IbCeCa_3SqR25jNTW_QY5A_e23yX6s4bj3CMaVECTjn61fhztz_G-Lab0SyzRWnBoyAw.P4JrVzaaosGQQHeqwy29sD7FtOwWKednuWNg3yjbT9M&amp;dib_tag=se&amp;keywords=Motor%2BBrushless%2BA2212%2B1000kv&amp;qid=1778306475&amp;sprefix=motor%2Bbrushless%2Ba2212%2B1000kv%2Caps%2C154&amp;sr=8-1&amp;th=1" TargetMode="External"/><Relationship Id="rId2" Type="http://schemas.openxmlformats.org/officeDocument/2006/relationships/hyperlink" Target="https://www.amazon.com/-/es/escobillas-controlador-velocidad-protecciones-aplicaciones/dp/B0C9YJJPRC/ref=sr_1_3?__mk_es_US=%C3%85M%C3%85%C5%BD%C3%95%C3%91&amp;crid=FXNZ3DI4PUY4&amp;dib=eyJ2IjoiMSJ9.jCKRZaP1HfnEv84EQKa57DXAuVag-KSxLntd-GHSLnXBH9n0wdn60WFhUP9HQJtr6BgtgtxQeTMjFqSU2PCThPAey0t3I9d4L0eYs3zf7kH0zsOJc9OSEJ4T83H_dFYrYK5AkEntlwcBZrmDdAee29wQKOJyrjCMUPA1xzl-t_0OhB6dzuJaBYfm3AJdTiri6A3ZPOB2VSENJM29Ff_P1BWX2-ASNXULRyY2zVlynNGxhsJ1nKlsVkQaxzy59w1an0a8Hq3gbxTKXRyXUlyw6aaEAJICuuKaJAv_UNEkXXg.rvwL63Xncw9GLeRuIoXhqjvmPnaMssnUz1ncKWHdMlY&amp;dib_tag=se&amp;keywords=Controlador+Motor+Brushless+Esc+30a+Esc30a+Drone&amp;qid=1778306516&amp;sprefix=controlador+motor+brushless+esc+30a+esc30a+drone%2Caps%2C168&amp;sr=8-3" TargetMode="External"/><Relationship Id="rId3" Type="http://schemas.openxmlformats.org/officeDocument/2006/relationships/hyperlink" Target="https://www.amazon.com/-/es/uxcell-Propellers-pulgadas-paletas-adaptadores/dp/B07PXKKV3G/ref=sr_1_5?__mk_es_US=%C3%85M%C3%85%C5%BD%C3%95%C3%91&amp;crid=17FN1ZLVLDM5&amp;dib=eyJ2IjoiMSJ9.nEHb6c-J5XJVyCrAP9xfOyvq19IAO_-CDeylYS7nuqDQvHGp-yW0xqT4pFpUxLesATrNy2GSv_iEp0nWR1CYbMSiwOvLMwn-rCf7daKXgrvuPfHudiHkXLDHFbGuzbm9E3A7-0uBeTTchoTT2JaoPBP8Fhw8zWB7tBocol5d4ACX1mE6XsvBh9BHSaKZMd1wwoSIV2MPPRJZoo5GmWlDZj9GQcQ9YAZrDSORiVh-5yhaRnxltncDQanzt21Cm79Q.7WHwypXr4eRSf_VJWSlheLHrxpg3x0kGIn9C2B_xmzQ&amp;dib_tag=se&amp;keywords=Especificaciones%2Bde%2Blas%2Bh%C3%A9lices%2B1045&amp;qid=1778306681&amp;sprefix=especificaciones%2Bde%2Blas%2Bh%C3%A9lices%2B1045%2Caps%2C192&amp;sr=8-5&amp;th=1" TargetMode="External"/><Relationship Id="rId4" Type="http://schemas.openxmlformats.org/officeDocument/2006/relationships/hyperlink" Target="https://www.amazon.com/-/es/SG90-Control-Raspberry-Helic%C3%B3ptero-Controles/dp/B0DFKPVRC2/ref=sr_1_7?__mk_es_US=%C3%85M%C3%85%C5%BD%C3%95%C3%91&amp;crid=3AZ24BC4LAVZ&amp;dib=eyJ2IjoiMSJ9.nkc0KBgCfhVQogZxEstWSj9hzQTqtSnKDBOh2btAVCITvj9z1H8ETdVgKAxUDMCV6yLfu4dJcPcnVbiHyBXUJPBjuTF6HSPHGvDO7IeLGZb2IGdRr8eN46JkjhGrEdFxASdZe-ujWijphO4UOhYnPUkl_kTmzkrk5eR-b3_FvvUk0ZXHQn6HHa4E-cyizAGaIp5BP_oUcMrju8ZspAJUWj1HLqhJuC4CNlCtAMUU9-jRDh7F9CYCzc7fqUnrEpyP0dsVjhO56bn97A29RzFxEzUvNZsjQx6gX8C10qjK-r8.Fp63VX-lhzdocHrG6hbZgivFwHpVtfBjlyOEnQHEVn8&amp;dib_tag=se&amp;keywords=Servo+Motor+SG90+Tower+Pro+180+grados+9g&amp;nsdOptOutParam=true&amp;qid=1778306804&amp;sprefix=servo+motor+sg90+tower+pro+180+grados+9g%2Caps%2C172&amp;sr=8-7" TargetMode="External"/><Relationship Id="rId9" Type="http://schemas.openxmlformats.org/officeDocument/2006/relationships/hyperlink" Target="https://www.amazon.com/-/es/potencia-BEC-Helicopter-Quadcopters-Accesorios/dp/B0BCJM3R5P/ref=sr_1_3?__mk_es_US=%C3%85M%C3%85%C5%BD%C3%95%C3%91&amp;crid=YPNNOTG8SB3F&amp;dib=eyJ2IjoiMSJ9.CYMa-tfgZs2SK-jJqYCnujKqhnz7_t18L3jt0Wa271wq3YU4IAyfFOYAGZksff-xTPTrIN8eWb6GaaZoxfqupk7n2Cmrtm8nYaPa82BagBmhci005nCf1c1YOlptoj6I-zgT4fSuhovcFWw7KSlBL1lLODk8po_lAk_bMJzwQuiWMrFLiqdjFKczepEFP8jOMZDSFsy8Sgf34zHsFPHHYtdiXXWs-Wuhks_7YnCaazw.bM3RmVGc0ZbCQzfi-Ma6MpJxCG3or7Kmgn-qUiY93Tg&amp;dib_tag=se&amp;keywords=Modulo%2Bde%2Balimentaci%C3%B3n&amp;qid=1777678337&amp;s=toys-and-games&amp;sprefix=modulo%2Bde%2Balimentaci%C3%B3n%2Ctoys-and-games%2C154&amp;sr=1-3&amp;th=1" TargetMode="External"/><Relationship Id="rId15" Type="http://schemas.openxmlformats.org/officeDocument/2006/relationships/hyperlink" Target="https://www.amazon.com/Readytosky-Br%C3%BAjula-incorporada-controlador-est%C3%A1ndar/dp/B01KK9A8QG/ref=sxin_17_pa_sp_search_thematic_sspa?__mk_es_US=%C3%85M%C3%85%C5%BD%C3%95%C3%91&amp;content-id=amzn1.sym.63b1d3ac-8a78-4cf6-a957-8c06c2d0a126%3Aamzn1.sym.63b1d3ac-8a78-4cf6-a957-8c06c2d0a126&amp;crid=1VM94Q4Q4A00B&amp;cv_ct_cx=gps+module&amp;keywords=Modulo+gPS&amp;pd_rd_i=B01KK9A8QG&amp;pd_rd_r=725933cb-08ab-437e-baf2-7245d143fd86&amp;pd_rd_w=nCNxY&amp;pd_rd_wg=dOUjA&amp;pf_rd_p=63b1d3ac-8a78-4cf6-a957-8c06c2d0a126&amp;pf_rd_r=HZ387DGCHBZ57591YYS2&amp;qid=1777678232&amp;sbo=RZvfv%2F%2FHxDF%2BO5021pAnSA%3D%3D&amp;sprefix=modulo+gps%2Caps%2C187&amp;sr=1-2-6e60e730-e094-43e9-99e8-1a4854cd27ff-spons&amp;aref=8rC4nKRRxW&amp;sp_csd=d2lkZ2V0TmFtZT1zcF9zZWFyY2hfdGhlbWF0aWM&amp;psc=1" TargetMode="External"/><Relationship Id="rId14" Type="http://schemas.openxmlformats.org/officeDocument/2006/relationships/hyperlink" Target="https://www.amazon.com/Controlador-autom%C3%A1tico-interruptor-amortiguaci%C3%B3n-vibraciones/dp/B0CTZTJD4J/ref=sr_1_1_sspa?__mk_es_US=%C3%85M%C3%85%C5%BD%C3%95%C3%91&amp;crid=ACN3B2E0886E&amp;dib=eyJ2IjoiMSJ9.Gs7-bOSgLs_FdZ-v_YBB7W7ppUAVoMH-s5mjGbZn4XkzcdwxkhkEZ0isPlzHMU6r889CTRcqyf8soXDK3DgweorAiwmM1r4gz1RPXxkAguIwH55BOdz8upGIVU0DcQgqwgZUhTdgzxyk1Veh6Uzo6uIGqNnFyTOIKqEAtJo72r-iigv5HAcyafADOGyPU5mYOhx5aCOHq4qQmafmX12mMS9xHUyZrkh1HxMBU_59t6apTi2V1HlqP2VmwHQX9gzHzOPQZiXmAM3zuL5IG7TewBKrm7FcVwPSBt8U7fqjyvQ.vgRXoWuS08oe2wROZx5WS1W8aL_By4zUg8Ai2UAzJbY&amp;dib_tag=se&amp;keywords=Pixhawk%2BPX4%2B2.4.8&amp;qid=1777677673&amp;s=toys-and-games&amp;sprefix=pixhawk%2Bpx4%2B2.4.8%2Ctoys-and-games%2C145&amp;sr=1-1-spons&amp;sp_csd=d2lkZ2V0TmFtZT1zcF9hdGY&amp;th=1" TargetMode="External"/><Relationship Id="rId17" Type="http://schemas.openxmlformats.org/officeDocument/2006/relationships/hyperlink" Target="https://www.amazon.com/-/es/gp/product/B0B74H861D/ref=ewc_pr_img_2?smid=A27Y3358ST3KOY&amp;psc=1" TargetMode="External"/><Relationship Id="rId16" Type="http://schemas.openxmlformats.org/officeDocument/2006/relationships/hyperlink" Target="https://www.amazon.com/Flysky-FS-i6X-Transmisor-predeterminado-receptor/dp/B0744DPPL8/ref=sr_1_1_sspa?__mk_es_US=%C3%85M%C3%85%C5%BD%C3%95%C3%91&amp;crid=BJ8XVHP2VQE&amp;dib=eyJ2IjoiMSJ9.MWB9KD5nyi-PJX2LrM_8PP65qOLG1l2V6Wkoek9qJo3rgdpqdMRsPHm5Q7RJJLfn6Y3eQmwHrDja_n70am0iqQQk99B8Lee6XlJVrvG8EIcxp97nLAdFJB3ogWL6zScUiy1XNMbvo7ItYJ8cTiixQix5XLD7TqiXOGtAIkv0XwOrG2eBbBdEBzvpSeEyDRnnFTfRDXLestvUKnsKbH-PQn4iuo_zuJn25jDEWuwOEoZeHmYkkvwLNDEFsTnLxrwbI-ymS2uallFPhvLZ0lElji7JiM6qC7WUcKdA628AFL8.Css6dudhoMsFK0O0wBRby5Qlb2J1zUp7TKWGueOIB4I&amp;dib_tag=se&amp;keywords=Transmisor+RC&amp;qid=1777678299&amp;s=toys-and-games&amp;sprefix=transmisor+rc%2Ctoys-and-games%2C155&amp;sr=1-1-spons&amp;sp_csd=d2lkZ2V0TmFtZT1zcF9hdGY&amp;psc=1" TargetMode="External"/><Relationship Id="rId5" Type="http://schemas.openxmlformats.org/officeDocument/2006/relationships/hyperlink" Target="https://www.amazon.com/Controlador-autom%C3%A1tico-interruptor-amortiguaci%C3%B3n-vibraciones/dp/B0CTZTJD4J/ref=sr_1_1_sspa?__mk_es_US=%C3%85M%C3%85%C5%BD%C3%95%C3%91&amp;crid=ACN3B2E0886E&amp;dib=eyJ2IjoiMSJ9.Gs7-bOSgLs_FdZ-v_YBB7W7ppUAVoMH-s5mjGbZn4XkzcdwxkhkEZ0isPlzHMU6r889CTRcqyf8soXDK3DgweorAiwmM1r4gz1RPXxkAguIwH55BOdz8upGIVU0DcQgqwgZUhTdgzxyk1Veh6Uzo6uIGqNnFyTOIKqEAtJo72r-iigv5HAcyafADOGyPU5mYOhx5aCOHq4qQmafmX12mMS9xHUyZrkh1HxMBU_59t6apTi2V1HlqP2VmwHQX9gzHzOPQZiXmAM3zuL5IG7TewBKrm7FcVwPSBt8U7fqjyvQ.vgRXoWuS08oe2wROZx5WS1W8aL_By4zUg8Ai2UAzJbY&amp;dib_tag=se&amp;keywords=Pixhawk%2BPX4%2B2.4.8&amp;qid=1777677673&amp;s=toys-and-games&amp;sprefix=pixhawk%2Bpx4%2B2.4.8%2Ctoys-and-games%2C145&amp;sr=1-1-spons&amp;sp_csd=d2lkZ2V0TmFtZT1zcF9hdGY&amp;th=1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www.amazon.com/Readytosky-Br%C3%BAjula-incorporada-controlador-est%C3%A1ndar/dp/B01KK9A8QG/ref=sxin_17_pa_sp_search_thematic_sspa?__mk_es_US=%C3%85M%C3%85%C5%BD%C3%95%C3%91&amp;content-id=amzn1.sym.63b1d3ac-8a78-4cf6-a957-8c06c2d0a126%3Aamzn1.sym.63b1d3ac-8a78-4cf6-a957-8c06c2d0a126&amp;crid=1VM94Q4Q4A00B&amp;cv_ct_cx=gps+module&amp;keywords=Modulo+gPS&amp;pd_rd_i=B01KK9A8QG&amp;pd_rd_r=725933cb-08ab-437e-baf2-7245d143fd86&amp;pd_rd_w=nCNxY&amp;pd_rd_wg=dOUjA&amp;pf_rd_p=63b1d3ac-8a78-4cf6-a957-8c06c2d0a126&amp;pf_rd_r=HZ387DGCHBZ57591YYS2&amp;qid=1777678232&amp;sbo=RZvfv%2F%2FHxDF%2BO5021pAnSA%3D%3D&amp;sprefix=modulo+gps%2Caps%2C187&amp;sr=1-2-6e60e730-e094-43e9-99e8-1a4854cd27ff-spons&amp;aref=8rC4nKRRxW&amp;sp_csd=d2lkZ2V0TmFtZT1zcF9zZWFyY2hfdGhlbWF0aWM&amp;psc=1" TargetMode="External"/><Relationship Id="rId18" Type="http://schemas.openxmlformats.org/officeDocument/2006/relationships/hyperlink" Target="https://www.amazon.com/-/es/potencia-BEC-Helicopter-Quadcopters-Accesorios/dp/B0BCJM3R5P/ref=sr_1_3?__mk_es_US=%C3%85M%C3%85%C5%BD%C3%95%C3%91&amp;crid=YPNNOTG8SB3F&amp;dib=eyJ2IjoiMSJ9.CYMa-tfgZs2SK-jJqYCnujKqhnz7_t18L3jt0Wa271wq3YU4IAyfFOYAGZksff-xTPTrIN8eWb6GaaZoxfqupk7n2Cmrtm8nYaPa82BagBmhci005nCf1c1YOlptoj6I-zgT4fSuhovcFWw7KSlBL1lLODk8po_lAk_bMJzwQuiWMrFLiqdjFKczepEFP8jOMZDSFsy8Sgf34zHsFPHHYtdiXXWs-Wuhks_7YnCaazw.bM3RmVGc0ZbCQzfi-Ma6MpJxCG3or7Kmgn-qUiY93Tg&amp;dib_tag=se&amp;keywords=Modulo%2Bde%2Balimentaci%C3%B3n&amp;qid=1777678337&amp;s=toys-and-games&amp;sprefix=modulo%2Bde%2Balimentaci%C3%B3n%2Ctoys-and-games%2C154&amp;sr=1-3&amp;th=1" TargetMode="External"/><Relationship Id="rId7" Type="http://schemas.openxmlformats.org/officeDocument/2006/relationships/hyperlink" Target="https://www.amazon.com/Flysky-FS-i6X-Transmisor-predeterminado-receptor/dp/B0744DPPL8/ref=sr_1_1_sspa?__mk_es_US=%C3%85M%C3%85%C5%BD%C3%95%C3%91&amp;crid=BJ8XVHP2VQE&amp;dib=eyJ2IjoiMSJ9.MWB9KD5nyi-PJX2LrM_8PP65qOLG1l2V6Wkoek9qJo3rgdpqdMRsPHm5Q7RJJLfn6Y3eQmwHrDja_n70am0iqQQk99B8Lee6XlJVrvG8EIcxp97nLAdFJB3ogWL6zScUiy1XNMbvo7ItYJ8cTiixQix5XLD7TqiXOGtAIkv0XwOrG2eBbBdEBzvpSeEyDRnnFTfRDXLestvUKnsKbH-PQn4iuo_zuJn25jDEWuwOEoZeHmYkkvwLNDEFsTnLxrwbI-ymS2uallFPhvLZ0lElji7JiM6qC7WUcKdA628AFL8.Css6dudhoMsFK0O0wBRby5Qlb2J1zUp7TKWGueOIB4I&amp;dib_tag=se&amp;keywords=Transmisor+RC&amp;qid=1777678299&amp;s=toys-and-games&amp;sprefix=transmisor+rc%2Ctoys-and-games%2C155&amp;sr=1-1-spons&amp;sp_csd=d2lkZ2V0TmFtZT1zcF9hdGY&amp;psc=1" TargetMode="External"/><Relationship Id="rId8" Type="http://schemas.openxmlformats.org/officeDocument/2006/relationships/hyperlink" Target="https://www.amazon.com/-/es/gp/product/B0B74H861D/ref=ewc_pr_img_2?smid=A27Y3358ST3KOY&amp;psc=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5" width="22.0"/>
    <col customWidth="1" min="6" max="6" width="26.0"/>
    <col customWidth="1" min="7" max="26" width="8.71"/>
  </cols>
  <sheetData>
    <row r="1" ht="39.75" customHeight="1">
      <c r="A1" s="1" t="s">
        <v>0</v>
      </c>
      <c r="B1" s="2"/>
      <c r="C1" s="2"/>
      <c r="D1" s="2"/>
      <c r="E1" s="2"/>
      <c r="F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24.75" customHeight="1">
      <c r="A3" s="5" t="s">
        <v>7</v>
      </c>
      <c r="B3" s="6"/>
      <c r="C3" s="6"/>
      <c r="D3" s="6"/>
      <c r="E3" s="6"/>
      <c r="F3" s="7"/>
    </row>
    <row r="4" ht="19.5" customHeight="1">
      <c r="A4" s="8" t="s">
        <v>8</v>
      </c>
      <c r="B4" s="9" t="s">
        <v>9</v>
      </c>
      <c r="C4" s="10">
        <v>1.05</v>
      </c>
      <c r="D4" s="10">
        <v>1.058</v>
      </c>
      <c r="E4" s="10">
        <v>1.143</v>
      </c>
      <c r="F4" s="10">
        <v>1.058</v>
      </c>
    </row>
    <row r="5" ht="19.5" customHeight="1">
      <c r="A5" s="11" t="s">
        <v>10</v>
      </c>
      <c r="B5" s="12" t="s">
        <v>11</v>
      </c>
      <c r="C5" s="13">
        <v>0.1699</v>
      </c>
      <c r="D5" s="13">
        <v>0.1699</v>
      </c>
      <c r="E5" s="13">
        <v>0.23</v>
      </c>
      <c r="F5" s="13">
        <v>0.1699</v>
      </c>
    </row>
    <row r="6" ht="19.5" customHeight="1">
      <c r="A6" s="8" t="s">
        <v>12</v>
      </c>
      <c r="B6" s="9" t="s">
        <v>13</v>
      </c>
      <c r="C6" s="10">
        <v>0.8</v>
      </c>
      <c r="D6" s="10">
        <v>0.81</v>
      </c>
      <c r="E6" s="10">
        <v>0.88</v>
      </c>
      <c r="F6" s="10">
        <v>0.81</v>
      </c>
    </row>
    <row r="7" ht="19.5" customHeight="1">
      <c r="A7" s="11" t="s">
        <v>14</v>
      </c>
      <c r="B7" s="12" t="s">
        <v>15</v>
      </c>
      <c r="C7" s="14">
        <v>0.155</v>
      </c>
      <c r="D7" s="14">
        <v>0.155</v>
      </c>
      <c r="E7" s="14">
        <v>0.201</v>
      </c>
      <c r="F7" s="14">
        <v>0.155</v>
      </c>
    </row>
    <row r="8" ht="19.5" customHeight="1">
      <c r="A8" s="8" t="s">
        <v>16</v>
      </c>
      <c r="B8" s="9" t="s">
        <v>17</v>
      </c>
      <c r="C8" s="15">
        <f t="shared" ref="C8:F8" si="1">C4^2/C5</f>
        <v>6.489111242</v>
      </c>
      <c r="D8" s="15">
        <f t="shared" si="1"/>
        <v>6.588369629</v>
      </c>
      <c r="E8" s="15">
        <f t="shared" si="1"/>
        <v>5.680213043</v>
      </c>
      <c r="F8" s="15">
        <f t="shared" si="1"/>
        <v>6.588369629</v>
      </c>
    </row>
    <row r="9" ht="24.75" customHeight="1">
      <c r="A9" s="5" t="s">
        <v>18</v>
      </c>
      <c r="B9" s="6"/>
      <c r="C9" s="6"/>
      <c r="D9" s="6"/>
      <c r="E9" s="6"/>
      <c r="F9" s="7"/>
    </row>
    <row r="10" ht="19.5" customHeight="1">
      <c r="A10" s="8" t="s">
        <v>19</v>
      </c>
      <c r="B10" s="9" t="s">
        <v>20</v>
      </c>
      <c r="C10" s="16" t="s">
        <v>21</v>
      </c>
      <c r="D10" s="16" t="s">
        <v>21</v>
      </c>
      <c r="E10" s="16" t="s">
        <v>22</v>
      </c>
      <c r="F10" s="16" t="s">
        <v>23</v>
      </c>
    </row>
    <row r="11" ht="19.5" customHeight="1">
      <c r="A11" s="11" t="s">
        <v>19</v>
      </c>
      <c r="B11" s="12" t="s">
        <v>24</v>
      </c>
      <c r="C11" s="17" t="s">
        <v>25</v>
      </c>
      <c r="D11" s="17" t="s">
        <v>25</v>
      </c>
      <c r="E11" s="17" t="s">
        <v>26</v>
      </c>
      <c r="F11" s="17" t="s">
        <v>25</v>
      </c>
    </row>
    <row r="12" ht="19.5" customHeight="1">
      <c r="A12" s="8" t="s">
        <v>19</v>
      </c>
      <c r="B12" s="9" t="s">
        <v>27</v>
      </c>
      <c r="C12" s="16" t="s">
        <v>28</v>
      </c>
      <c r="D12" s="16" t="s">
        <v>28</v>
      </c>
      <c r="E12" s="16" t="s">
        <v>29</v>
      </c>
      <c r="F12" s="16" t="s">
        <v>30</v>
      </c>
    </row>
    <row r="13" ht="19.5" customHeight="1">
      <c r="A13" s="11" t="s">
        <v>31</v>
      </c>
      <c r="B13" s="12" t="s">
        <v>32</v>
      </c>
      <c r="C13" s="18">
        <v>11.1</v>
      </c>
      <c r="D13" s="18">
        <v>11.1</v>
      </c>
      <c r="E13" s="18">
        <v>11.1</v>
      </c>
      <c r="F13" s="18">
        <v>11.1</v>
      </c>
    </row>
    <row r="14" ht="19.5" customHeight="1">
      <c r="A14" s="8" t="s">
        <v>33</v>
      </c>
      <c r="B14" s="9" t="s">
        <v>34</v>
      </c>
      <c r="C14" s="19">
        <v>2.2</v>
      </c>
      <c r="D14" s="19">
        <v>2.2</v>
      </c>
      <c r="E14" s="19">
        <v>2.2</v>
      </c>
      <c r="F14" s="19">
        <v>2.2</v>
      </c>
    </row>
    <row r="15" ht="19.5" customHeight="1">
      <c r="A15" s="11" t="s">
        <v>35</v>
      </c>
      <c r="B15" s="12" t="s">
        <v>36</v>
      </c>
      <c r="C15" s="20">
        <f t="shared" ref="C15:F15" si="2">C13*C14</f>
        <v>24.42</v>
      </c>
      <c r="D15" s="20">
        <f t="shared" si="2"/>
        <v>24.42</v>
      </c>
      <c r="E15" s="20">
        <f t="shared" si="2"/>
        <v>24.42</v>
      </c>
      <c r="F15" s="20">
        <f t="shared" si="2"/>
        <v>24.42</v>
      </c>
    </row>
    <row r="16" ht="19.5" customHeight="1">
      <c r="A16" s="8" t="s">
        <v>37</v>
      </c>
      <c r="B16" s="9" t="s">
        <v>38</v>
      </c>
      <c r="C16" s="21">
        <v>0.885</v>
      </c>
      <c r="D16" s="21">
        <v>0.885</v>
      </c>
      <c r="E16" s="21">
        <v>2.218</v>
      </c>
      <c r="F16" s="21">
        <v>1.02</v>
      </c>
    </row>
    <row r="17" ht="19.5" customHeight="1">
      <c r="A17" s="11" t="s">
        <v>39</v>
      </c>
      <c r="B17" s="12" t="s">
        <v>40</v>
      </c>
      <c r="C17" s="22">
        <v>10.0</v>
      </c>
      <c r="D17" s="22">
        <v>10.0</v>
      </c>
      <c r="E17" s="22">
        <v>20.0</v>
      </c>
      <c r="F17" s="22">
        <v>17.0</v>
      </c>
    </row>
    <row r="18" ht="19.5" customHeight="1">
      <c r="A18" s="8" t="s">
        <v>41</v>
      </c>
      <c r="B18" s="9" t="s">
        <v>42</v>
      </c>
      <c r="C18" s="23">
        <v>20.0</v>
      </c>
      <c r="D18" s="23">
        <v>20.0</v>
      </c>
      <c r="E18" s="23">
        <v>42.0</v>
      </c>
      <c r="F18" s="23">
        <v>25.0</v>
      </c>
    </row>
    <row r="19" ht="19.5" customHeight="1">
      <c r="A19" s="11" t="s">
        <v>43</v>
      </c>
      <c r="B19" s="12" t="s">
        <v>44</v>
      </c>
      <c r="C19" s="22">
        <v>1.1</v>
      </c>
      <c r="D19" s="22">
        <v>1.1</v>
      </c>
      <c r="E19" s="22">
        <v>4.0</v>
      </c>
      <c r="F19" s="22">
        <v>1.1</v>
      </c>
    </row>
    <row r="20" ht="24.75" customHeight="1">
      <c r="A20" s="5" t="s">
        <v>45</v>
      </c>
      <c r="B20" s="6"/>
      <c r="C20" s="6"/>
      <c r="D20" s="6"/>
      <c r="E20" s="6"/>
      <c r="F20" s="7"/>
    </row>
    <row r="21" ht="19.5" customHeight="1">
      <c r="A21" s="11" t="s">
        <v>46</v>
      </c>
      <c r="B21" s="12" t="s">
        <v>47</v>
      </c>
      <c r="C21" s="24">
        <v>9.81</v>
      </c>
      <c r="D21" s="24">
        <v>9.81</v>
      </c>
      <c r="E21" s="24">
        <v>9.81</v>
      </c>
      <c r="F21" s="24">
        <v>9.81</v>
      </c>
    </row>
    <row r="22" ht="19.5" customHeight="1">
      <c r="A22" s="8" t="s">
        <v>48</v>
      </c>
      <c r="B22" s="9" t="s">
        <v>49</v>
      </c>
      <c r="C22" s="25">
        <v>1.225</v>
      </c>
      <c r="D22" s="25">
        <v>1.225</v>
      </c>
      <c r="E22" s="25">
        <v>1.225</v>
      </c>
      <c r="F22" s="25">
        <v>1.225</v>
      </c>
    </row>
    <row r="23" ht="19.5" customHeight="1">
      <c r="A23" s="11" t="s">
        <v>50</v>
      </c>
      <c r="B23" s="12" t="s">
        <v>51</v>
      </c>
      <c r="C23" s="26">
        <v>0.9</v>
      </c>
      <c r="D23" s="26">
        <v>0.9</v>
      </c>
      <c r="E23" s="26">
        <v>1.2</v>
      </c>
      <c r="F23" s="26">
        <v>0.9</v>
      </c>
    </row>
    <row r="24" ht="19.5" customHeight="1">
      <c r="A24" s="8" t="s">
        <v>52</v>
      </c>
      <c r="B24" s="9" t="s">
        <v>53</v>
      </c>
      <c r="C24" s="15">
        <v>0.9</v>
      </c>
      <c r="D24" s="15">
        <v>0.9</v>
      </c>
      <c r="E24" s="16" t="s">
        <v>54</v>
      </c>
      <c r="F24" s="15">
        <v>0.9</v>
      </c>
    </row>
    <row r="25" ht="24.75" customHeight="1">
      <c r="A25" s="5" t="s">
        <v>55</v>
      </c>
      <c r="B25" s="6"/>
      <c r="C25" s="6"/>
      <c r="D25" s="6"/>
      <c r="E25" s="6"/>
      <c r="F25" s="7"/>
    </row>
    <row r="26" ht="19.5" customHeight="1">
      <c r="A26" s="8" t="s">
        <v>56</v>
      </c>
      <c r="B26" s="9" t="s">
        <v>57</v>
      </c>
      <c r="C26" s="21" t="str">
        <f>MATERIALES_USA!E17/1000</f>
        <v>#REF!</v>
      </c>
      <c r="D26" s="21" t="str">
        <f>MATERIALES_USA!J17/1000</f>
        <v>#REF!</v>
      </c>
      <c r="E26" s="21" t="str">
        <f>MATERIALES_USA!O17/1000</f>
        <v>#REF!</v>
      </c>
      <c r="F26" s="21" t="str">
        <f>MATERIALES_USA!T17/1000</f>
        <v>#REF!</v>
      </c>
    </row>
    <row r="27" ht="19.5" customHeight="1">
      <c r="A27" s="11" t="s">
        <v>58</v>
      </c>
      <c r="B27" s="12" t="s">
        <v>59</v>
      </c>
      <c r="C27" s="27" t="str">
        <f t="shared" ref="C27:F27" si="3">C26*C21</f>
        <v>#REF!</v>
      </c>
      <c r="D27" s="27" t="str">
        <f t="shared" si="3"/>
        <v>#REF!</v>
      </c>
      <c r="E27" s="27" t="str">
        <f t="shared" si="3"/>
        <v>#REF!</v>
      </c>
      <c r="F27" s="27" t="str">
        <f t="shared" si="3"/>
        <v>#REF!</v>
      </c>
    </row>
    <row r="28" ht="19.5" customHeight="1">
      <c r="A28" s="8" t="s">
        <v>60</v>
      </c>
      <c r="B28" s="9" t="s">
        <v>61</v>
      </c>
      <c r="C28" s="28" t="str">
        <f t="shared" ref="C28:F28" si="4">SQRT((2*C27)/(C22*C5*C23))</f>
        <v>#REF!</v>
      </c>
      <c r="D28" s="28" t="str">
        <f t="shared" si="4"/>
        <v>#REF!</v>
      </c>
      <c r="E28" s="28" t="str">
        <f t="shared" si="4"/>
        <v>#REF!</v>
      </c>
      <c r="F28" s="28" t="str">
        <f t="shared" si="4"/>
        <v>#REF!</v>
      </c>
    </row>
    <row r="29" ht="19.5" customHeight="1">
      <c r="A29" s="11" t="s">
        <v>62</v>
      </c>
      <c r="B29" s="12" t="s">
        <v>63</v>
      </c>
      <c r="C29" s="29" t="str">
        <f t="shared" ref="C29:F29" si="5">C28*3.6</f>
        <v>#REF!</v>
      </c>
      <c r="D29" s="29" t="str">
        <f t="shared" si="5"/>
        <v>#REF!</v>
      </c>
      <c r="E29" s="29" t="str">
        <f t="shared" si="5"/>
        <v>#REF!</v>
      </c>
      <c r="F29" s="29" t="str">
        <f t="shared" si="5"/>
        <v>#REF!</v>
      </c>
    </row>
    <row r="30" ht="19.5" customHeight="1">
      <c r="A30" s="8" t="s">
        <v>64</v>
      </c>
      <c r="B30" s="9" t="s">
        <v>65</v>
      </c>
      <c r="C30" s="28" t="str">
        <f t="shared" ref="C30:D30" si="6">SQRT((2*C27)/(C22*C5*C24))</f>
        <v>#REF!</v>
      </c>
      <c r="D30" s="28" t="str">
        <f t="shared" si="6"/>
        <v>#REF!</v>
      </c>
      <c r="E30" s="28" t="s">
        <v>54</v>
      </c>
      <c r="F30" s="28" t="str">
        <f>SQRT((2*F27)/(F22*F5*F24))</f>
        <v>#REF!</v>
      </c>
    </row>
    <row r="31" ht="19.5" customHeight="1">
      <c r="A31" s="11" t="s">
        <v>66</v>
      </c>
      <c r="B31" s="12" t="s">
        <v>67</v>
      </c>
      <c r="C31" s="30" t="str">
        <f t="shared" ref="C31:F31" si="7">C26*10/C5</f>
        <v>#REF!</v>
      </c>
      <c r="D31" s="30" t="str">
        <f t="shared" si="7"/>
        <v>#REF!</v>
      </c>
      <c r="E31" s="30" t="str">
        <f t="shared" si="7"/>
        <v>#REF!</v>
      </c>
      <c r="F31" s="30" t="str">
        <f t="shared" si="7"/>
        <v>#REF!</v>
      </c>
    </row>
    <row r="32" ht="19.5" customHeight="1">
      <c r="A32" s="8" t="s">
        <v>68</v>
      </c>
      <c r="B32" s="9" t="s">
        <v>69</v>
      </c>
      <c r="C32" s="15" t="str">
        <f t="shared" ref="C32:F32" si="8">C16/C26</f>
        <v>#REF!</v>
      </c>
      <c r="D32" s="15" t="str">
        <f t="shared" si="8"/>
        <v>#REF!</v>
      </c>
      <c r="E32" s="15" t="str">
        <f t="shared" si="8"/>
        <v>#REF!</v>
      </c>
      <c r="F32" s="15" t="str">
        <f t="shared" si="8"/>
        <v>#REF!</v>
      </c>
    </row>
    <row r="33" ht="19.5" customHeight="1">
      <c r="A33" s="11" t="s">
        <v>70</v>
      </c>
      <c r="B33" s="12" t="s">
        <v>71</v>
      </c>
      <c r="C33" s="31">
        <f t="shared" ref="C33:F33" si="9">(C14/(C17+C19))*60</f>
        <v>11.89189189</v>
      </c>
      <c r="D33" s="31">
        <f t="shared" si="9"/>
        <v>11.89189189</v>
      </c>
      <c r="E33" s="31">
        <f t="shared" si="9"/>
        <v>5.5</v>
      </c>
      <c r="F33" s="31">
        <f t="shared" si="9"/>
        <v>7.29281768</v>
      </c>
    </row>
    <row r="34" ht="19.5" customHeight="1">
      <c r="A34" s="8" t="s">
        <v>72</v>
      </c>
      <c r="B34" s="9" t="s">
        <v>73</v>
      </c>
      <c r="C34" s="32">
        <f t="shared" ref="C34:F34" si="10">C33*0.7</f>
        <v>8.324324324</v>
      </c>
      <c r="D34" s="32">
        <f t="shared" si="10"/>
        <v>8.324324324</v>
      </c>
      <c r="E34" s="32">
        <f t="shared" si="10"/>
        <v>3.85</v>
      </c>
      <c r="F34" s="32">
        <f t="shared" si="10"/>
        <v>5.104972376</v>
      </c>
    </row>
    <row r="35" ht="19.5" customHeight="1">
      <c r="A35" s="11" t="s">
        <v>74</v>
      </c>
      <c r="B35" s="12" t="s">
        <v>75</v>
      </c>
      <c r="C35" s="31">
        <f t="shared" ref="C35:F35" si="11">(C14/(C18+C19))*60</f>
        <v>6.255924171</v>
      </c>
      <c r="D35" s="31">
        <f t="shared" si="11"/>
        <v>6.255924171</v>
      </c>
      <c r="E35" s="31">
        <f t="shared" si="11"/>
        <v>2.869565217</v>
      </c>
      <c r="F35" s="31">
        <f t="shared" si="11"/>
        <v>5.057471264</v>
      </c>
    </row>
    <row r="36" ht="19.5" customHeight="1">
      <c r="A36" s="8" t="s">
        <v>76</v>
      </c>
      <c r="B36" s="9" t="s">
        <v>77</v>
      </c>
      <c r="C36" s="32">
        <f t="shared" ref="C36:F36" si="12">C35*0.7</f>
        <v>4.379146919</v>
      </c>
      <c r="D36" s="32">
        <f t="shared" si="12"/>
        <v>4.379146919</v>
      </c>
      <c r="E36" s="32">
        <f t="shared" si="12"/>
        <v>2.008695652</v>
      </c>
      <c r="F36" s="32">
        <f t="shared" si="12"/>
        <v>3.540229885</v>
      </c>
    </row>
    <row r="37" ht="19.5" customHeight="1">
      <c r="A37" s="11" t="s">
        <v>78</v>
      </c>
      <c r="B37" s="12" t="s">
        <v>79</v>
      </c>
      <c r="C37" s="33">
        <f t="shared" ref="C37:F37" si="13">C13*C17</f>
        <v>111</v>
      </c>
      <c r="D37" s="33">
        <f t="shared" si="13"/>
        <v>111</v>
      </c>
      <c r="E37" s="33">
        <f t="shared" si="13"/>
        <v>222</v>
      </c>
      <c r="F37" s="33">
        <f t="shared" si="13"/>
        <v>188.7</v>
      </c>
    </row>
    <row r="38" ht="19.5" customHeight="1">
      <c r="A38" s="8" t="s">
        <v>80</v>
      </c>
      <c r="B38" s="9" t="s">
        <v>81</v>
      </c>
      <c r="C38" s="34">
        <f t="shared" ref="C38:F38" si="14">C13*C18</f>
        <v>222</v>
      </c>
      <c r="D38" s="34">
        <f t="shared" si="14"/>
        <v>222</v>
      </c>
      <c r="E38" s="34">
        <f t="shared" si="14"/>
        <v>466.2</v>
      </c>
      <c r="F38" s="34">
        <f t="shared" si="14"/>
        <v>277.5</v>
      </c>
    </row>
    <row r="39" ht="19.5" customHeight="1">
      <c r="A39" s="11" t="s">
        <v>82</v>
      </c>
      <c r="B39" s="12" t="s">
        <v>83</v>
      </c>
      <c r="C39" s="35" t="str">
        <f t="shared" ref="C39:F39" si="15">1.3*C28</f>
        <v>#REF!</v>
      </c>
      <c r="D39" s="35" t="str">
        <f t="shared" si="15"/>
        <v>#REF!</v>
      </c>
      <c r="E39" s="35" t="str">
        <f t="shared" si="15"/>
        <v>#REF!</v>
      </c>
      <c r="F39" s="35" t="str">
        <f t="shared" si="15"/>
        <v>#REF!</v>
      </c>
    </row>
    <row r="40" ht="19.5" customHeight="1">
      <c r="A40" s="36" t="s">
        <v>19</v>
      </c>
      <c r="B40" s="37" t="s">
        <v>84</v>
      </c>
      <c r="C40" s="38" t="str">
        <f>MATERIALES_USA!E29</f>
        <v>#REF!</v>
      </c>
      <c r="D40" s="38" t="str">
        <f>MATERIALES_USA!J29</f>
        <v>#REF!</v>
      </c>
      <c r="E40" s="38" t="str">
        <f>MATERIALES_USA!O29</f>
        <v>#REF!</v>
      </c>
      <c r="F40" s="38" t="str">
        <f>MATERIALES_USA!T29</f>
        <v>#REF!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3:F3"/>
    <mergeCell ref="A9:F9"/>
    <mergeCell ref="A20:F20"/>
    <mergeCell ref="A25:F2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57"/>
  </cols>
  <sheetData>
    <row r="1">
      <c r="A1" s="39" t="s">
        <v>85</v>
      </c>
      <c r="H1" s="40"/>
    </row>
    <row r="2">
      <c r="A2" s="41" t="s">
        <v>86</v>
      </c>
      <c r="B2" s="41" t="s">
        <v>87</v>
      </c>
      <c r="C2" s="41" t="s">
        <v>88</v>
      </c>
      <c r="D2" s="41" t="s">
        <v>89</v>
      </c>
      <c r="E2" s="41" t="s">
        <v>90</v>
      </c>
      <c r="F2" s="41" t="s">
        <v>91</v>
      </c>
      <c r="G2" s="41" t="s">
        <v>92</v>
      </c>
      <c r="H2" s="40" t="s">
        <v>93</v>
      </c>
    </row>
    <row r="3">
      <c r="A3" s="42" t="s">
        <v>94</v>
      </c>
      <c r="B3" s="43">
        <v>2.0</v>
      </c>
      <c r="C3" s="43">
        <v>100.0</v>
      </c>
      <c r="D3" s="43">
        <f t="shared" ref="D3:D13" si="1">C3*B3</f>
        <v>200</v>
      </c>
      <c r="E3" s="44">
        <v>5.0</v>
      </c>
      <c r="F3" s="45">
        <f t="shared" ref="F3:F13" si="2">E3*B3</f>
        <v>10</v>
      </c>
      <c r="G3" s="46" t="s">
        <v>95</v>
      </c>
      <c r="H3" s="47" t="s">
        <v>96</v>
      </c>
    </row>
    <row r="4">
      <c r="A4" s="46" t="s">
        <v>97</v>
      </c>
      <c r="B4" s="43">
        <v>1.0</v>
      </c>
      <c r="C4" s="43">
        <v>54.0</v>
      </c>
      <c r="D4" s="43">
        <f t="shared" si="1"/>
        <v>54</v>
      </c>
      <c r="E4" s="45">
        <v>14.0</v>
      </c>
      <c r="F4" s="45">
        <f t="shared" si="2"/>
        <v>14</v>
      </c>
      <c r="G4" s="48" t="s">
        <v>98</v>
      </c>
      <c r="H4" s="47" t="s">
        <v>99</v>
      </c>
    </row>
    <row r="5">
      <c r="A5" s="46" t="s">
        <v>100</v>
      </c>
      <c r="B5" s="43">
        <v>1.0</v>
      </c>
      <c r="C5" s="43">
        <v>25.0</v>
      </c>
      <c r="D5" s="43">
        <f t="shared" si="1"/>
        <v>25</v>
      </c>
      <c r="E5" s="45">
        <v>10.0</v>
      </c>
      <c r="F5" s="45">
        <f t="shared" si="2"/>
        <v>10</v>
      </c>
      <c r="G5" s="46" t="s">
        <v>101</v>
      </c>
      <c r="H5" s="47" t="s">
        <v>102</v>
      </c>
    </row>
    <row r="6">
      <c r="A6" s="46" t="s">
        <v>103</v>
      </c>
      <c r="B6" s="43">
        <v>1.0</v>
      </c>
      <c r="C6" s="43">
        <v>22.0</v>
      </c>
      <c r="D6" s="43">
        <f t="shared" si="1"/>
        <v>22</v>
      </c>
      <c r="E6" s="44">
        <v>5.0</v>
      </c>
      <c r="F6" s="45">
        <f t="shared" si="2"/>
        <v>5</v>
      </c>
      <c r="G6" s="46" t="s">
        <v>104</v>
      </c>
      <c r="H6" s="47" t="s">
        <v>105</v>
      </c>
    </row>
    <row r="7">
      <c r="A7" s="49" t="s">
        <v>106</v>
      </c>
      <c r="B7" s="50">
        <v>1.0</v>
      </c>
      <c r="C7" s="50">
        <v>183.0</v>
      </c>
      <c r="D7" s="50">
        <f t="shared" si="1"/>
        <v>183</v>
      </c>
      <c r="E7" s="51">
        <v>20.0</v>
      </c>
      <c r="F7" s="45">
        <f t="shared" si="2"/>
        <v>20</v>
      </c>
      <c r="G7" s="49" t="s">
        <v>107</v>
      </c>
      <c r="H7" s="47" t="s">
        <v>108</v>
      </c>
    </row>
    <row r="8">
      <c r="A8" s="46" t="s">
        <v>109</v>
      </c>
      <c r="B8" s="43">
        <v>4.0</v>
      </c>
      <c r="C8" s="43">
        <v>10.0</v>
      </c>
      <c r="D8" s="43">
        <f t="shared" si="1"/>
        <v>40</v>
      </c>
      <c r="E8" s="45">
        <v>2.5</v>
      </c>
      <c r="F8" s="45">
        <f t="shared" si="2"/>
        <v>10</v>
      </c>
      <c r="G8" s="46" t="s">
        <v>110</v>
      </c>
      <c r="H8" s="47" t="s">
        <v>111</v>
      </c>
    </row>
    <row r="9">
      <c r="A9" s="49" t="s">
        <v>112</v>
      </c>
      <c r="B9" s="50">
        <v>1.0</v>
      </c>
      <c r="C9" s="50">
        <v>55.0</v>
      </c>
      <c r="D9" s="50">
        <f t="shared" si="1"/>
        <v>55</v>
      </c>
      <c r="E9" s="51">
        <v>200.0</v>
      </c>
      <c r="F9" s="45">
        <f t="shared" si="2"/>
        <v>200</v>
      </c>
      <c r="G9" s="49" t="s">
        <v>113</v>
      </c>
      <c r="H9" s="47" t="s">
        <v>114</v>
      </c>
    </row>
    <row r="10">
      <c r="A10" s="49" t="s">
        <v>115</v>
      </c>
      <c r="B10" s="50">
        <v>1.0</v>
      </c>
      <c r="C10" s="50">
        <v>20.0</v>
      </c>
      <c r="D10" s="50">
        <f t="shared" si="1"/>
        <v>20</v>
      </c>
      <c r="E10" s="51">
        <v>40.0</v>
      </c>
      <c r="F10" s="45">
        <f t="shared" si="2"/>
        <v>40</v>
      </c>
      <c r="G10" s="49" t="s">
        <v>116</v>
      </c>
      <c r="H10" s="47" t="s">
        <v>117</v>
      </c>
    </row>
    <row r="11">
      <c r="A11" s="49" t="s">
        <v>118</v>
      </c>
      <c r="B11" s="50">
        <v>1.0</v>
      </c>
      <c r="C11" s="50">
        <v>0.0</v>
      </c>
      <c r="D11" s="50">
        <f t="shared" si="1"/>
        <v>0</v>
      </c>
      <c r="E11" s="51">
        <v>60.0</v>
      </c>
      <c r="F11" s="45">
        <f t="shared" si="2"/>
        <v>60</v>
      </c>
      <c r="G11" s="49" t="s">
        <v>119</v>
      </c>
      <c r="H11" s="47" t="s">
        <v>120</v>
      </c>
    </row>
    <row r="12">
      <c r="A12" s="49" t="s">
        <v>121</v>
      </c>
      <c r="B12" s="50">
        <v>1.0</v>
      </c>
      <c r="C12" s="50">
        <v>15.0</v>
      </c>
      <c r="D12" s="50">
        <f t="shared" si="1"/>
        <v>15</v>
      </c>
      <c r="E12" s="51">
        <v>24.0</v>
      </c>
      <c r="F12" s="45">
        <f t="shared" si="2"/>
        <v>24</v>
      </c>
      <c r="G12" s="49" t="s">
        <v>122</v>
      </c>
      <c r="H12" s="47" t="s">
        <v>123</v>
      </c>
    </row>
    <row r="13">
      <c r="A13" s="49" t="s">
        <v>124</v>
      </c>
      <c r="B13" s="50">
        <v>1.0</v>
      </c>
      <c r="C13" s="50">
        <v>30.0</v>
      </c>
      <c r="D13" s="50">
        <f t="shared" si="1"/>
        <v>30</v>
      </c>
      <c r="E13" s="51">
        <v>15.0</v>
      </c>
      <c r="F13" s="45">
        <f t="shared" si="2"/>
        <v>15</v>
      </c>
      <c r="G13" s="49" t="s">
        <v>125</v>
      </c>
      <c r="H13" s="47" t="s">
        <v>126</v>
      </c>
    </row>
    <row r="14">
      <c r="A14" s="40"/>
      <c r="B14" s="52">
        <f>SUM(B3:B13)</f>
        <v>15</v>
      </c>
      <c r="C14" s="40"/>
      <c r="D14" s="52">
        <f>SUM(D3:D13)</f>
        <v>644</v>
      </c>
      <c r="E14" s="40"/>
      <c r="F14" s="53">
        <f>SUM(F3:F13)</f>
        <v>408</v>
      </c>
      <c r="G14" s="40"/>
      <c r="H14" s="40"/>
    </row>
    <row r="15">
      <c r="A15" s="40"/>
      <c r="B15" s="40"/>
      <c r="C15" s="40"/>
      <c r="D15" s="40"/>
      <c r="E15" s="40"/>
      <c r="F15" s="40"/>
      <c r="G15" s="40"/>
      <c r="H15" s="40"/>
    </row>
    <row r="16">
      <c r="A16" s="39" t="s">
        <v>127</v>
      </c>
      <c r="H16" s="40"/>
    </row>
    <row r="17">
      <c r="A17" s="41" t="s">
        <v>86</v>
      </c>
      <c r="B17" s="41" t="s">
        <v>87</v>
      </c>
      <c r="C17" s="41" t="s">
        <v>88</v>
      </c>
      <c r="D17" s="41" t="s">
        <v>89</v>
      </c>
      <c r="E17" s="41" t="s">
        <v>90</v>
      </c>
      <c r="F17" s="41" t="s">
        <v>91</v>
      </c>
      <c r="G17" s="41" t="s">
        <v>92</v>
      </c>
      <c r="H17" s="40" t="s">
        <v>93</v>
      </c>
    </row>
    <row r="18">
      <c r="A18" s="42" t="s">
        <v>94</v>
      </c>
      <c r="B18" s="43">
        <v>2.0</v>
      </c>
      <c r="C18" s="43">
        <v>100.0</v>
      </c>
      <c r="D18" s="43">
        <f t="shared" ref="D18:D28" si="3">C18*B18</f>
        <v>200</v>
      </c>
      <c r="E18" s="44">
        <v>5.0</v>
      </c>
      <c r="F18" s="45">
        <f t="shared" ref="F18:F28" si="4">E18*B18</f>
        <v>10</v>
      </c>
      <c r="G18" s="46" t="s">
        <v>95</v>
      </c>
      <c r="H18" s="47" t="s">
        <v>96</v>
      </c>
    </row>
    <row r="19">
      <c r="A19" s="46" t="s">
        <v>97</v>
      </c>
      <c r="B19" s="43">
        <v>1.0</v>
      </c>
      <c r="C19" s="43">
        <v>54.0</v>
      </c>
      <c r="D19" s="43">
        <f t="shared" si="3"/>
        <v>54</v>
      </c>
      <c r="E19" s="45">
        <v>14.0</v>
      </c>
      <c r="F19" s="45">
        <f t="shared" si="4"/>
        <v>14</v>
      </c>
      <c r="G19" s="48" t="s">
        <v>98</v>
      </c>
      <c r="H19" s="47" t="s">
        <v>99</v>
      </c>
    </row>
    <row r="20">
      <c r="A20" s="46" t="s">
        <v>100</v>
      </c>
      <c r="B20" s="43">
        <v>1.0</v>
      </c>
      <c r="C20" s="43">
        <v>25.0</v>
      </c>
      <c r="D20" s="43">
        <f t="shared" si="3"/>
        <v>25</v>
      </c>
      <c r="E20" s="45">
        <v>10.0</v>
      </c>
      <c r="F20" s="45">
        <f t="shared" si="4"/>
        <v>10</v>
      </c>
      <c r="G20" s="46" t="s">
        <v>101</v>
      </c>
      <c r="H20" s="47" t="s">
        <v>102</v>
      </c>
    </row>
    <row r="21">
      <c r="A21" s="46" t="s">
        <v>103</v>
      </c>
      <c r="B21" s="43">
        <v>1.0</v>
      </c>
      <c r="C21" s="43">
        <v>22.0</v>
      </c>
      <c r="D21" s="43">
        <f t="shared" si="3"/>
        <v>22</v>
      </c>
      <c r="E21" s="44">
        <v>5.0</v>
      </c>
      <c r="F21" s="45">
        <f t="shared" si="4"/>
        <v>5</v>
      </c>
      <c r="G21" s="46" t="s">
        <v>104</v>
      </c>
      <c r="H21" s="47" t="s">
        <v>105</v>
      </c>
    </row>
    <row r="22">
      <c r="A22" s="49" t="s">
        <v>106</v>
      </c>
      <c r="B22" s="50">
        <v>1.0</v>
      </c>
      <c r="C22" s="50">
        <v>183.0</v>
      </c>
      <c r="D22" s="50">
        <f t="shared" si="3"/>
        <v>183</v>
      </c>
      <c r="E22" s="51">
        <v>20.0</v>
      </c>
      <c r="F22" s="45">
        <f t="shared" si="4"/>
        <v>20</v>
      </c>
      <c r="G22" s="49" t="s">
        <v>107</v>
      </c>
      <c r="H22" s="47" t="s">
        <v>108</v>
      </c>
    </row>
    <row r="23">
      <c r="A23" s="46" t="s">
        <v>109</v>
      </c>
      <c r="B23" s="43">
        <v>4.0</v>
      </c>
      <c r="C23" s="43">
        <v>10.0</v>
      </c>
      <c r="D23" s="43">
        <f t="shared" si="3"/>
        <v>40</v>
      </c>
      <c r="E23" s="45">
        <v>2.5</v>
      </c>
      <c r="F23" s="45">
        <f t="shared" si="4"/>
        <v>10</v>
      </c>
      <c r="G23" s="46" t="s">
        <v>110</v>
      </c>
      <c r="H23" s="47" t="s">
        <v>111</v>
      </c>
    </row>
    <row r="24">
      <c r="A24" s="49" t="s">
        <v>112</v>
      </c>
      <c r="B24" s="54">
        <v>0.0</v>
      </c>
      <c r="C24" s="50">
        <v>55.0</v>
      </c>
      <c r="D24" s="50">
        <f t="shared" si="3"/>
        <v>0</v>
      </c>
      <c r="E24" s="51">
        <v>200.0</v>
      </c>
      <c r="F24" s="45">
        <f t="shared" si="4"/>
        <v>0</v>
      </c>
      <c r="G24" s="49" t="s">
        <v>113</v>
      </c>
      <c r="H24" s="47" t="s">
        <v>114</v>
      </c>
    </row>
    <row r="25">
      <c r="A25" s="49" t="s">
        <v>115</v>
      </c>
      <c r="B25" s="54">
        <v>0.0</v>
      </c>
      <c r="C25" s="50">
        <v>20.0</v>
      </c>
      <c r="D25" s="50">
        <f t="shared" si="3"/>
        <v>0</v>
      </c>
      <c r="E25" s="51">
        <v>40.0</v>
      </c>
      <c r="F25" s="45">
        <f t="shared" si="4"/>
        <v>0</v>
      </c>
      <c r="G25" s="49" t="s">
        <v>116</v>
      </c>
      <c r="H25" s="47" t="s">
        <v>117</v>
      </c>
    </row>
    <row r="26">
      <c r="A26" s="49" t="s">
        <v>118</v>
      </c>
      <c r="B26" s="50">
        <v>1.0</v>
      </c>
      <c r="C26" s="50">
        <v>0.0</v>
      </c>
      <c r="D26" s="50">
        <f t="shared" si="3"/>
        <v>0</v>
      </c>
      <c r="E26" s="51">
        <v>60.0</v>
      </c>
      <c r="F26" s="45">
        <f t="shared" si="4"/>
        <v>60</v>
      </c>
      <c r="G26" s="49" t="s">
        <v>119</v>
      </c>
      <c r="H26" s="47" t="s">
        <v>120</v>
      </c>
    </row>
    <row r="27">
      <c r="A27" s="49" t="s">
        <v>121</v>
      </c>
      <c r="B27" s="50">
        <v>1.0</v>
      </c>
      <c r="C27" s="50">
        <v>15.0</v>
      </c>
      <c r="D27" s="50">
        <f t="shared" si="3"/>
        <v>15</v>
      </c>
      <c r="E27" s="51">
        <v>24.0</v>
      </c>
      <c r="F27" s="45">
        <f t="shared" si="4"/>
        <v>24</v>
      </c>
      <c r="G27" s="49" t="s">
        <v>122</v>
      </c>
      <c r="H27" s="47" t="s">
        <v>123</v>
      </c>
    </row>
    <row r="28">
      <c r="A28" s="49" t="s">
        <v>124</v>
      </c>
      <c r="B28" s="54">
        <v>0.0</v>
      </c>
      <c r="C28" s="50">
        <v>30.0</v>
      </c>
      <c r="D28" s="50">
        <f t="shared" si="3"/>
        <v>0</v>
      </c>
      <c r="E28" s="51">
        <v>15.0</v>
      </c>
      <c r="F28" s="45">
        <f t="shared" si="4"/>
        <v>0</v>
      </c>
      <c r="G28" s="49" t="s">
        <v>125</v>
      </c>
      <c r="H28" s="47" t="s">
        <v>126</v>
      </c>
    </row>
    <row r="29">
      <c r="A29" s="40"/>
      <c r="B29" s="52">
        <f>SUM(B18:B28)</f>
        <v>12</v>
      </c>
      <c r="C29" s="40"/>
      <c r="D29" s="52">
        <f>SUM(D18:D28)</f>
        <v>539</v>
      </c>
      <c r="E29" s="40"/>
      <c r="F29" s="53">
        <f>SUM(F18:F28)</f>
        <v>153</v>
      </c>
      <c r="G29" s="40"/>
      <c r="H29" s="40"/>
    </row>
  </sheetData>
  <mergeCells count="2">
    <mergeCell ref="A1:G1"/>
    <mergeCell ref="A16:G16"/>
  </mergeCells>
  <hyperlinks>
    <hyperlink r:id="rId1" ref="H4"/>
    <hyperlink r:id="rId2" ref="H5"/>
    <hyperlink r:id="rId3" ref="H6"/>
    <hyperlink r:id="rId4" ref="H8"/>
    <hyperlink r:id="rId5" ref="H9"/>
    <hyperlink r:id="rId6" ref="H10"/>
    <hyperlink r:id="rId7" ref="H11"/>
    <hyperlink r:id="rId8" ref="H12"/>
    <hyperlink r:id="rId9" ref="H13"/>
    <hyperlink r:id="rId10" ref="H19"/>
    <hyperlink r:id="rId11" ref="H20"/>
    <hyperlink r:id="rId12" ref="H21"/>
    <hyperlink r:id="rId13" ref="H23"/>
    <hyperlink r:id="rId14" ref="H24"/>
    <hyperlink r:id="rId15" ref="H25"/>
    <hyperlink r:id="rId16" ref="H26"/>
    <hyperlink r:id="rId17" ref="H27"/>
    <hyperlink r:id="rId18" ref="H28"/>
  </hyperlinks>
  <drawing r:id="rId19"/>
  <tableParts count="2">
    <tablePart r:id="rId22"/>
    <tablePart r:id="rId2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8.0"/>
    <col customWidth="1" min="6" max="26" width="8.71"/>
  </cols>
  <sheetData>
    <row r="1" ht="39.75" customHeight="1">
      <c r="A1" s="1" t="s">
        <v>128</v>
      </c>
      <c r="B1" s="2"/>
      <c r="C1" s="2"/>
      <c r="D1" s="2"/>
      <c r="E1" s="3"/>
    </row>
    <row r="2" ht="19.5" customHeight="1">
      <c r="A2" s="55" t="s">
        <v>129</v>
      </c>
    </row>
    <row r="3" ht="27.75" customHeight="1">
      <c r="A3" s="4" t="s">
        <v>130</v>
      </c>
      <c r="B3" s="4" t="s">
        <v>131</v>
      </c>
      <c r="C3" s="4" t="s">
        <v>132</v>
      </c>
      <c r="D3" s="4" t="s">
        <v>133</v>
      </c>
      <c r="E3" s="4" t="s">
        <v>134</v>
      </c>
    </row>
    <row r="4" ht="19.5" customHeight="1">
      <c r="A4" s="56">
        <v>0.0</v>
      </c>
      <c r="B4" s="57">
        <v>0.008</v>
      </c>
      <c r="C4" s="57">
        <v>0.155</v>
      </c>
      <c r="D4" s="57">
        <v>0.057</v>
      </c>
      <c r="E4" s="15">
        <f t="shared" ref="E4:E8" si="1">B4/C4</f>
        <v>0.05161290323</v>
      </c>
    </row>
    <row r="5" ht="19.5" customHeight="1">
      <c r="A5" s="58">
        <v>5.0</v>
      </c>
      <c r="B5" s="59">
        <v>0.245</v>
      </c>
      <c r="C5" s="59">
        <v>0.104</v>
      </c>
      <c r="D5" s="59">
        <v>0.039</v>
      </c>
      <c r="E5" s="26">
        <f t="shared" si="1"/>
        <v>2.355769231</v>
      </c>
    </row>
    <row r="6" ht="19.5" customHeight="1">
      <c r="A6" s="56">
        <v>10.0</v>
      </c>
      <c r="B6" s="57">
        <v>0.459</v>
      </c>
      <c r="C6" s="57">
        <v>0.128</v>
      </c>
      <c r="D6" s="57">
        <v>0.107</v>
      </c>
      <c r="E6" s="15">
        <f t="shared" si="1"/>
        <v>3.5859375</v>
      </c>
    </row>
    <row r="7" ht="19.5" customHeight="1">
      <c r="A7" s="58">
        <v>15.0</v>
      </c>
      <c r="B7" s="59">
        <v>0.719</v>
      </c>
      <c r="C7" s="59">
        <v>0.244</v>
      </c>
      <c r="D7" s="59">
        <v>0.119</v>
      </c>
      <c r="E7" s="26">
        <f t="shared" si="1"/>
        <v>2.946721311</v>
      </c>
    </row>
    <row r="8" ht="19.5" customHeight="1">
      <c r="A8" s="56">
        <v>20.0</v>
      </c>
      <c r="B8" s="57">
        <v>0.9</v>
      </c>
      <c r="C8" s="57">
        <v>0.367</v>
      </c>
      <c r="D8" s="57">
        <v>0.174</v>
      </c>
      <c r="E8" s="15">
        <f t="shared" si="1"/>
        <v>2.452316076</v>
      </c>
    </row>
    <row r="10" ht="24.75" customHeight="1">
      <c r="A10" s="60" t="s">
        <v>135</v>
      </c>
      <c r="B10" s="2"/>
      <c r="C10" s="2"/>
      <c r="D10" s="2"/>
      <c r="E10" s="3"/>
    </row>
    <row r="11" ht="21.75" customHeight="1">
      <c r="A11" s="61" t="s">
        <v>136</v>
      </c>
      <c r="B11" s="7"/>
      <c r="C11" s="62" t="s">
        <v>137</v>
      </c>
      <c r="D11" s="63">
        <v>2.71</v>
      </c>
      <c r="E11" s="7"/>
    </row>
    <row r="12" ht="21.75" customHeight="1">
      <c r="A12" s="61" t="s">
        <v>138</v>
      </c>
      <c r="B12" s="7"/>
      <c r="C12" s="62" t="s">
        <v>139</v>
      </c>
      <c r="D12" s="63">
        <v>-0.205</v>
      </c>
      <c r="E12" s="7"/>
    </row>
    <row r="13" ht="21.75" customHeight="1">
      <c r="A13" s="64" t="s">
        <v>140</v>
      </c>
      <c r="B13" s="65"/>
      <c r="C13" s="66" t="s">
        <v>141</v>
      </c>
      <c r="D13" s="67">
        <v>0.075</v>
      </c>
      <c r="E13" s="6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12:E12"/>
    <mergeCell ref="D13:E13"/>
    <mergeCell ref="A1:E1"/>
    <mergeCell ref="A2:E2"/>
    <mergeCell ref="A10:E10"/>
    <mergeCell ref="A11:B11"/>
    <mergeCell ref="D11:E11"/>
    <mergeCell ref="A12:B12"/>
    <mergeCell ref="A13:B1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2026-07-05T00:42:49Z</dcterms:created>
  <dc:creator>openpyxl</dc:creator>
</cp:coreProperties>
</file>